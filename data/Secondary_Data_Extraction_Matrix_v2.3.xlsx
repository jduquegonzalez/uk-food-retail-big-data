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traction_Log" sheetId="1" r:id="rId4"/>
    <sheet state="visible" name="Thematic_Codebook" sheetId="2" r:id="rId5"/>
    <sheet state="visible" name="Geographic_Tiering" sheetId="3" r:id="rId6"/>
    <sheet state="visible" name="Validation_Tracker" sheetId="4" r:id="rId7"/>
    <sheet state="visible" name="Summary_Statistics" sheetId="5" r:id="rId8"/>
    <sheet state="visible" name="Dropdown_Reference" sheetId="6" r:id="rId9"/>
    <sheet state="visible" name="Sheet1" sheetId="7" r:id="rId10"/>
  </sheets>
  <definedNames/>
  <calcPr/>
  <extLst>
    <ext uri="GoogleSheetsCustomDataVersion2">
      <go:sheetsCustomData xmlns:go="http://customooxmlschemas.google.com/" r:id="rId11" roundtripDataChecksum="bhWMyDu8HbDByRAkuhsyBiUZhpVMa1NvHfasUIBqsY4="/>
    </ext>
  </extLst>
</workbook>
</file>

<file path=xl/sharedStrings.xml><?xml version="1.0" encoding="utf-8"?>
<sst xmlns="http://schemas.openxmlformats.org/spreadsheetml/2006/main" count="8047" uniqueCount="3150">
  <si>
    <t>Extract_ID</t>
  </si>
  <si>
    <t>Source_Type</t>
  </si>
  <si>
    <t>Organisation</t>
  </si>
  <si>
    <t>Document_Title</t>
  </si>
  <si>
    <t>URL</t>
  </si>
  <si>
    <t>Year</t>
  </si>
  <si>
    <t>Geo_Scope</t>
  </si>
  <si>
    <t>Geo_Tier</t>
  </si>
  <si>
    <t>UK_Data</t>
  </si>
  <si>
    <t>Geo_Usage</t>
  </si>
  <si>
    <t>Verbatim_Extract</t>
  </si>
  <si>
    <t>Page_Section</t>
  </si>
  <si>
    <t>Word_Count</t>
  </si>
  <si>
    <t>Initial_Code_1</t>
  </si>
  <si>
    <t>Initial_Code_2</t>
  </si>
  <si>
    <t>Initial_Code_3</t>
  </si>
  <si>
    <t>Coding_Level</t>
  </si>
  <si>
    <t>Theme_Candidate</t>
  </si>
  <si>
    <t>Sub_Theme</t>
  </si>
  <si>
    <t>Framework_Alignment</t>
  </si>
  <si>
    <t>Confirmation_Status</t>
  </si>
  <si>
    <t>Cross_Reference</t>
  </si>
  <si>
    <t>Confidence_Level</t>
  </si>
  <si>
    <t>Notes</t>
  </si>
  <si>
    <t>Date_Extracted</t>
  </si>
  <si>
    <t>Reviewer_Decision</t>
  </si>
  <si>
    <t>Exclusion_Note</t>
  </si>
  <si>
    <t>EXT_ALD_001</t>
  </si>
  <si>
    <t>Retailer</t>
  </si>
  <si>
    <t>Aldi UK</t>
  </si>
  <si>
    <t>Aldi UK Sustainability Report 2024</t>
  </si>
  <si>
    <t>https://dm.emea.cms.aldi.cx/is/content/aldiprodeu/AL01_Aldi_2024_SR_UK</t>
  </si>
  <si>
    <t>UK</t>
  </si>
  <si>
    <t>T1_UK_Specific</t>
  </si>
  <si>
    <t>Yes</t>
  </si>
  <si>
    <t>Primary_Evidence</t>
  </si>
  <si>
    <t>Our automated food waste report platform shows what is wasted in granular detail, so that we can see what's discarded most often. Then each store can target their food waste reduction actions accordingly</t>
  </si>
  <si>
    <t>p.26 (Tackling food waste)</t>
  </si>
  <si>
    <t>automated_waste_reporting</t>
  </si>
  <si>
    <t>granular_data_analysis</t>
  </si>
  <si>
    <t>store_level_action</t>
  </si>
  <si>
    <t>First_Order</t>
  </si>
  <si>
    <t>TH_01</t>
  </si>
  <si>
    <t>Inventory_Accuracy</t>
  </si>
  <si>
    <t>TOE_Tech</t>
  </si>
  <si>
    <t>Verified</t>
  </si>
  <si>
    <t>None identified</t>
  </si>
  <si>
    <t>High</t>
  </si>
  <si>
    <t>Explicit mention of a technology platform used for 'granular' analysis to drive operational action. Directly addresses RQ1 (BD technologies) and RQ2 (waste reduction impact).</t>
  </si>
  <si>
    <t>07-01-2026</t>
  </si>
  <si>
    <t>Include</t>
  </si>
  <si>
    <t>EXT_ALD_002</t>
  </si>
  <si>
    <t>Operationally, we have exceeded our short-term KPI to reduce operational food waste by 48%, by achieving a reduction of 72% by the end of 2024 (2017 baseline).</t>
  </si>
  <si>
    <t>operational_waste_reduction_72pct</t>
  </si>
  <si>
    <t>KPI_performance_exceeded</t>
  </si>
  <si>
    <t>2017_baseline</t>
  </si>
  <si>
    <t>TH_02</t>
  </si>
  <si>
    <t>Food_Waste_Prevention</t>
  </si>
  <si>
    <t>5Vs_Value</t>
  </si>
  <si>
    <t>Cross-checks with EXT_ALD_009 (67% to 2023)</t>
  </si>
  <si>
    <t>Quantifies the success of the operational strategies (including the platform mentioned in EXT_ALD_001). 72% reduction is a significant metric for RQ2.</t>
  </si>
  <si>
    <t>EXT_ALD_003</t>
  </si>
  <si>
    <t>The shelf life for our core beef has increased from 8 to 15 days, reducing food waste.</t>
  </si>
  <si>
    <t>p.31 (Positive action on packaging)</t>
  </si>
  <si>
    <t>shelf_life_extension_7days</t>
  </si>
  <si>
    <t>beef_inventory_optimisation</t>
  </si>
  <si>
    <t>packaging_innovation</t>
  </si>
  <si>
    <t>Stock_Availability</t>
  </si>
  <si>
    <t>SCOR_Make</t>
  </si>
  <si>
    <t>Demonstrates inventory optimisation through product/packaging innovation. Extending shelf life directly impacts inventory holding capability and waste (RQ2). However, there is no relation with BD application, just packaging improvements.</t>
  </si>
  <si>
    <t>Exclude</t>
  </si>
  <si>
    <t>Shelf life extension via packaging, not BD technology</t>
  </si>
  <si>
    <t>EXT_ALD_004</t>
  </si>
  <si>
    <t>Our National Real Estate team has now installed 625 water Automatic Meter Reader devices in Aldi stores, and the project will be completed by the end of 2025. These devices mean we get quality water data</t>
  </si>
  <si>
    <t>p.19 (Managing water supplies)</t>
  </si>
  <si>
    <t>IoT_meter_rollout_625_stores</t>
  </si>
  <si>
    <t>real_time_data_acquisition</t>
  </si>
  <si>
    <t>leak_detection</t>
  </si>
  <si>
    <t>TH_04</t>
  </si>
  <si>
    <t>Data_Infrastructure</t>
  </si>
  <si>
    <t>Cross-checks with EXT_ALD_010 (595 AMS)</t>
  </si>
  <si>
    <t>Evidence of IoT adoption (Automatic Meter Readers). While water-focused, it proves the deployment of data-gathering infrastructure across the store estate (RQ1).</t>
  </si>
  <si>
    <t>Water metering infrastructure - not related to inventory/BD</t>
  </si>
  <si>
    <t>EXT_ALD_005</t>
  </si>
  <si>
    <t>To understand the difference we can make, we use supply chain data via 3Keel, who survey our suppliers... to calculate our annual soy footprint and monitor our performance.</t>
  </si>
  <si>
    <t>p.15 (Tackling deforestation)</t>
  </si>
  <si>
    <t>3Keel_supply_chain_analytics</t>
  </si>
  <si>
    <t>footprint_calculation_method</t>
  </si>
  <si>
    <t>supplier_data_survey</t>
  </si>
  <si>
    <t>Vendor_Partnerships</t>
  </si>
  <si>
    <t>SCOR_Source</t>
  </si>
  <si>
    <t>Correlates with EXT_ALD_006 (D&amp;A Services)</t>
  </si>
  <si>
    <t>Example of using third-party data analytics (3Keel) for upstream supply chain visibility. Relevant to 'Source' phase of SCOR. Addresses RQ1 (BD technologies).</t>
  </si>
  <si>
    <t>Soy footprint supplier monitoring - sustainability focus, not inventory</t>
  </si>
  <si>
    <t>EXT_ALD_006</t>
  </si>
  <si>
    <t>Aldi Stores Limited</t>
  </si>
  <si>
    <t>Annual Report and Financial Statements 2024</t>
  </si>
  <si>
    <t>https://find-and-update.company-information.service.gov.uk/company/02321869/filing-history</t>
  </si>
  <si>
    <t>During the year the group received services amounting to £19.775m (2023: £15.726m) from Aldi D&amp;A Services GmbH.</t>
  </si>
  <si>
    <t>p.68, Note 25 (Related Party Transactions)</t>
  </si>
  <si>
    <t>analytics_investment_£19.8m</t>
  </si>
  <si>
    <t>intragroup_services</t>
  </si>
  <si>
    <t>YoY_growth_26pct</t>
  </si>
  <si>
    <t>Centre_of_Excellence</t>
  </si>
  <si>
    <t>TOE_Org</t>
  </si>
  <si>
    <t>Correlates with EXT_ALD_005 (3Keel partnership)</t>
  </si>
  <si>
    <t>CRITICAL FINANCIAL EVIDENCE: Explicit quantifying of 'D&amp;A' (Data &amp; Analytics) spend. The 26% YoY increase (from £15.7m) proves accelerating investment in BD capabilities. Audited by KPMG. Supports RQ1 and RQ3.</t>
  </si>
  <si>
    <t>EXT_ALD_007</t>
  </si>
  <si>
    <t>Aldi is rolling out Integrated Refrigeration Facility Management (IRFM), a middleware that automates work orders from alarms and supports predictive monitoring to optimise equipment performance. The system will be fully operational by the end of the year, enabling remote monitoring and lifecycle management of equipment</t>
  </si>
  <si>
    <t>p.17, Table 1 (Transition Risks)</t>
  </si>
  <si>
    <t>predictive_monitoring_IRFM</t>
  </si>
  <si>
    <t>middleware_automation</t>
  </si>
  <si>
    <t>remote_lifecycle_management</t>
  </si>
  <si>
    <t>Specific naming of a 'middleware' technology (IRFM) used for 'predictive monitoring'. This is a key example of BD/IoT application in operational maintenance. Addresses RQ1.</t>
  </si>
  <si>
    <t>BD applied to improve equipment performance. Not related to inventory optimisation.</t>
  </si>
  <si>
    <t>EXT_ALD_008</t>
  </si>
  <si>
    <t>Net cash of £599m (2023: £597m) was used in investing activities, primarily reflecting the group's investment in its store and distribution network and technology infrastructure... Purchase of intangible assets 203K.</t>
  </si>
  <si>
    <t>p.4, Financial key performance indicators; p45, Cash flows from investing activities</t>
  </si>
  <si>
    <t>tech_infrastructure_investment</t>
  </si>
  <si>
    <t>capex_£599m</t>
  </si>
  <si>
    <t>distribution_network</t>
  </si>
  <si>
    <t>Mixed</t>
  </si>
  <si>
    <t>Links 'technology infrastructure' directly to the primary capital expenditure figure (£599m). The 203K spent in intangible fixed assets suggests that tech is a top-level investment priority. Supports RQ3.</t>
  </si>
  <si>
    <t>EXT_ALD_009</t>
  </si>
  <si>
    <t>Between 2017 and 2023, Aldi UK has reduced food waste intensity within its own operations by 67%.</t>
  </si>
  <si>
    <t>p.26, Waste Management</t>
  </si>
  <si>
    <t>waste_intensity_reduction_67pct</t>
  </si>
  <si>
    <t>operational_efficiency</t>
  </si>
  <si>
    <t>SCOR_Return</t>
  </si>
  <si>
    <t>Cross-checks with EXT_ALD_002 (72% to 2024)</t>
  </si>
  <si>
    <t>Provides a hard longitudinal metric (67% reduction to 2023) for operational waste efficiency. Consistent with EXT_ALD_002 showing 72% by 2024. Directly relevant to RQ2.</t>
  </si>
  <si>
    <t>Superseded by EXT_ALD_002 with updated 72% figure (end 2024)</t>
  </si>
  <si>
    <t>EXT_ALD_010</t>
  </si>
  <si>
    <t>In FY2024, 595 AMS were installed at Aldi at sites... This system will create alerts when leaks or unusually high consumption have been identified to speed up leak detection. Its leak detection process resulted in engineers being dispatched to Aldi sites 43 times in 2024</t>
  </si>
  <si>
    <t>p.26, Water Management</t>
  </si>
  <si>
    <t>IoT_deployment_595_sites</t>
  </si>
  <si>
    <t>leak_detection_alerts</t>
  </si>
  <si>
    <t>automated_metering</t>
  </si>
  <si>
    <t>Supply_Chain_Visibility</t>
  </si>
  <si>
    <t>5Vs_Velocity</t>
  </si>
  <si>
    <t>Cross_Check_Required</t>
  </si>
  <si>
    <t>Cross-checks with EXT_ALD_004 (625 AMR)</t>
  </si>
  <si>
    <t>Confirms IoT rollout scale (595 AMS sites) and demonstrates 'velocity' value (speeding up leak detection). Note: discrepancy with EXT_ALD_004 (625 AMR) - terminology difference (AMS vs AMR) or different measurement periods. Addresses RQ1.</t>
  </si>
  <si>
    <t>It relates to sustainability, not inventory optimisation or waste reduction.</t>
  </si>
  <si>
    <t>EXT_ASD_001</t>
  </si>
  <si>
    <t>Asda (Bellis Finco PLC)</t>
  </si>
  <si>
    <t>Annual Report and Consolidated Financial Statements 2024</t>
  </si>
  <si>
    <t>https://find-and-update.company-information.service.gov.uk/company/12855336/filing-history</t>
  </si>
  <si>
    <t>In Project Future we are delivering a best-in-class technology stack and unlocking breakthrough advancements in Food Retail data analytics.</t>
  </si>
  <si>
    <t>p.12 (Financial Review)</t>
  </si>
  <si>
    <t>project_future_analytics</t>
  </si>
  <si>
    <t>breakthrough_advancements</t>
  </si>
  <si>
    <t>tech_stack_upgrade</t>
  </si>
  <si>
    <t>ROI_Metrics</t>
  </si>
  <si>
    <t>Direct evidence of BD/Analytics being a strategic priority ('breakthrough advancements'). Links 'Project Future' specifically to data capability upgrades. Addresses RQ1.</t>
  </si>
  <si>
    <t>EXT_ASD_002</t>
  </si>
  <si>
    <t>Approaching the end of the programme, we have already delivered significant technology enhancements in all depots, home offices as well as rolling out inventory management solutions across over 800 stores, primarily our smaller formats.</t>
  </si>
  <si>
    <t>inventory_solutions_rollout_800_stores</t>
  </si>
  <si>
    <t>depot_tech_enhancement</t>
  </si>
  <si>
    <t>small_format_focus</t>
  </si>
  <si>
    <t>SCOR_Plan</t>
  </si>
  <si>
    <t>Correlates with EXT_ASD_001 (Project Future)</t>
  </si>
  <si>
    <t>Quantifies the scale of the technology rollout (800 stores). Explicitly links 'technology enhancements' to 'inventory management solutions', directly addressing RQ1.</t>
  </si>
  <si>
    <t>EXT_ASD_003</t>
  </si>
  <si>
    <t>The separation programme is one-off and non-recurring in nature, and will transition the Group to a standalone, leading edge IT infrastructure using software as a service from best-in-class digital partners. Having no legacy systems will provide significant competitive advantage, deliver operating efficiencies, enable better use of data, and agility in taking on growth opportunities and in responding to customers' needs. Project Future is expected to complete in 2025. Cumulative cash outflow to 31 December 2024 for the project was £867m.Project Future is expected to complete in 2025. Cumulative cash outflow to 31 December 2024 for the project was £867m.</t>
  </si>
  <si>
    <t>p.22 (Reconciliation of IFRS to Non-IFRS Measures)</t>
  </si>
  <si>
    <t>IT_transformation_cost_£867m</t>
  </si>
  <si>
    <t>cumulative_cash_outflow</t>
  </si>
  <si>
    <t>2025_completion_target</t>
  </si>
  <si>
    <t>Cross-checks with Capital Expenditure section p.15</t>
  </si>
  <si>
    <t>CRITICAL: Provides the precise financial scale of IT/Data transformation (£867m cumulative). Massive 'sunk cost' investment to enable future BD capabilities. Addresses RQ3 (scaling challenges/opportunities).</t>
  </si>
  <si>
    <t>EXT_ASD_004</t>
  </si>
  <si>
    <t>The provision for store inventory loss at 31 December 2024 is £87.1m (2023: £140.2m).</t>
  </si>
  <si>
    <t>p.100 (Notes to Financial Statements, Note 1)</t>
  </si>
  <si>
    <t>inventory_loss_provision_£87.1m</t>
  </si>
  <si>
    <t>YoY_loss_reduction_38pct</t>
  </si>
  <si>
    <t>provision_accuracy</t>
  </si>
  <si>
    <t>Shrinkage_Reduction</t>
  </si>
  <si>
    <t>5Vs_Veracity</t>
  </si>
  <si>
    <t>Potentially linked to EXT_ASD_002 (inventory solutions)</t>
  </si>
  <si>
    <t>CRITICAL METRIC: Hard financial data on 'inventory loss' (shrinkage). Significant reduction from £140.2m to £87.1m (~38% reduction) suggests improved control/accuracy, potentially linked to new systems. Addresses RQ2.</t>
  </si>
  <si>
    <t>EXT_ASD_005</t>
  </si>
  <si>
    <t>Disciplined execution and supply management minimised clearance markdown and maximised full price sales, improving margins and lowering inventory through the year.</t>
  </si>
  <si>
    <t>p.14 (Financial Review - Non-food)</t>
  </si>
  <si>
    <t>inventory_reduction_outcome</t>
  </si>
  <si>
    <t>markdown_minimisation</t>
  </si>
  <si>
    <t>margin_improvement</t>
  </si>
  <si>
    <t>Markdown_Optimisation</t>
  </si>
  <si>
    <t>SCOR_Deliver</t>
  </si>
  <si>
    <t>Qualitative evidence of the impact of 'supply management' (inventory control) on financial outcomes (margin, markdown). Connects inventory levels to profitability. Addresses RQ2.</t>
  </si>
  <si>
    <t>EXT_ASD_006</t>
  </si>
  <si>
    <t>Environmental, Social &amp; Governance (ESG) Report 2024</t>
  </si>
  <si>
    <t>https://asdagroceries.scene7.com/is/content/asdagroceries/Z%20FUTURE/Microsites/Corporate/Documents/ESG_Report_2024.pdf</t>
  </si>
  <si>
    <t>Asda, along with other UK supermarkets, in collaboration with the Leeds Institute of Data Analytics (LIDA) at the University of Leeds, is assessing the impact of these location-based restrictions on consumer behaviour</t>
  </si>
  <si>
    <t>p.6 (Healthy and Sustainable Choices)</t>
  </si>
  <si>
    <t>LIDA_data_analytics_collaboration</t>
  </si>
  <si>
    <t>consumer_behaviour_assessment</t>
  </si>
  <si>
    <t>location_based_restrictions</t>
  </si>
  <si>
    <t>TOE_Env</t>
  </si>
  <si>
    <t>Evidence of academic partnership for high-level data analytics (Leeds Institute of Data Analytics). Demonstrates use of external expertise to leverage Big Data for strategic insights. Addresses RQ1.</t>
  </si>
  <si>
    <t>It relates to assessing customer behaviour towards unhealthy High Fat, Sugar, and Salt (HFSS) items</t>
  </si>
  <si>
    <t>EXT_ASD_007</t>
  </si>
  <si>
    <t>The new packaging enables the shelf life of the product to be increased by up to 9 days, reducing waste and keeping the product fresher for longer.</t>
  </si>
  <si>
    <t>p.7 (Sustainable Choices)</t>
  </si>
  <si>
    <t>shelf_life_extension_9days</t>
  </si>
  <si>
    <t>waste_reduction_mechanism</t>
  </si>
  <si>
    <t>Compare with EXT_ALD_003 (Aldi beef 7 days)</t>
  </si>
  <si>
    <t>Shows how physical product/packaging innovation directly alters inventory parameters (shelf life), which feeds into BD algorithms for ordering/stock holding. Addresses RQ2. Compare with Aldi's 7-day extension.</t>
  </si>
  <si>
    <t>It relats to product packaging</t>
  </si>
  <si>
    <t>EXT_ASD_008</t>
  </si>
  <si>
    <t>In December 2024, Asda launched a trial with Land App... The goal is to explore how remote sensing technology can support farmers to improve soil health, reduce risks like flooding, and enhance wildlife habitats.</t>
  </si>
  <si>
    <t>p.10 (Nature - Land App trial)</t>
  </si>
  <si>
    <t>remote_sensing_technology</t>
  </si>
  <si>
    <t>land_app_trial</t>
  </si>
  <si>
    <t>supply_chain_visibility</t>
  </si>
  <si>
    <t>Specific mention of 'remote sensing technology' and mapping apps in upstream supply chain. Clear SCOR_Source phase data application for risk reduction. Extends data visibility to farm level. Addresses RQ1.</t>
  </si>
  <si>
    <t>The technology mentioned relates to extended risk reduction on farms</t>
  </si>
  <si>
    <t>EXT_ASD_009</t>
  </si>
  <si>
    <t>Our 2024 data shows a reduction in food waste of 15.1% YOY and 7% against our baseline.</t>
  </si>
  <si>
    <t>p.41 (Scorecards - Zero Waste)</t>
  </si>
  <si>
    <t>food_waste_reduction_15.1pct</t>
  </si>
  <si>
    <t>YoY_performance</t>
  </si>
  <si>
    <t>2024_data</t>
  </si>
  <si>
    <t>Cross-checks with Zero Waste section p.12</t>
  </si>
  <si>
    <t>Quantified success metric (15.1% YoY reduction) resulting from 'reduction, redistribution and repurposing' strategies managed via data/inventory systems. Compare with Aldi's 72% long-term reduction. Addresses RQ2.</t>
  </si>
  <si>
    <t>Page number corrected from 21 to 41</t>
  </si>
  <si>
    <t>EXT_ASD_010</t>
  </si>
  <si>
    <t>Enhanced data quality has also enabled more accurate tracking and analysis of health performance across the portfolio.</t>
  </si>
  <si>
    <t>p.21 (Scorecards - Healthy Choices)</t>
  </si>
  <si>
    <t>enhanced_data_quality</t>
  </si>
  <si>
    <t>accurate_tracking_analysis</t>
  </si>
  <si>
    <t>portfolio_performance</t>
  </si>
  <si>
    <t>Explicit acknowledgment that 'enhanced data quality' is a prerequisite for accurate analysis. Directly supports 'Veracity' aspect of 5Vs framework. Identifies data quality as an enabler. Addresses RQ3.</t>
  </si>
  <si>
    <t>It relates to the business’s overall Health Score, the nutritional profile of products sold</t>
  </si>
  <si>
    <t>EXT_ICE_001</t>
  </si>
  <si>
    <t>Iceland Foods Limited</t>
  </si>
  <si>
    <t>Financial Statements for the 52 week period ended 28 March 2025</t>
  </si>
  <si>
    <t>https://find-and-update.company-information.service.gov.uk/company/01107406/filing-history</t>
  </si>
  <si>
    <t>The new Warehouse Management system has been successfully rolled out to all of our Regional Distribution Centres with the final implementation completed as planned in July 2025... using technology to support this.</t>
  </si>
  <si>
    <t>p.7 (Supply chain)</t>
  </si>
  <si>
    <t>WMS_rollout_completed</t>
  </si>
  <si>
    <t>supply_chain_productivity</t>
  </si>
  <si>
    <t>RDC_technology</t>
  </si>
  <si>
    <t>Confirms completion of major technology infrastructure project (WMS) across all RDCs. Critical evidence for Legacy Systems being updated to modern tech. Addresses RQ1.</t>
  </si>
  <si>
    <t>EXT_ICE_002</t>
  </si>
  <si>
    <t>We are also introducing technology that will allow us to boost sales and reduce waste by making dynamic markdowns of products nearing the end of their shelf life.</t>
  </si>
  <si>
    <t>p.11 (Outlook)</t>
  </si>
  <si>
    <t>dynamic_markdown_technology</t>
  </si>
  <si>
    <t>waste_reduction</t>
  </si>
  <si>
    <t>shelf_life_management</t>
  </si>
  <si>
    <t>Correlates with EXT_ICE_006 (Gander technology)</t>
  </si>
  <si>
    <t>Explicit mention of 'dynamic markdown' technology. Specific BD/AI application for inventory clearance and waste minimisation. Addresses RQ2.</t>
  </si>
  <si>
    <t>EXT_ICE_003</t>
  </si>
  <si>
    <t>Our FY25 Food Waste report... showed that we had achieved a 38% reduction in food and drink waste since our baseline in FY18, and a 12% reduction from FY24.</t>
  </si>
  <si>
    <t>p.10 (Environmental, Social &amp; Governance)</t>
  </si>
  <si>
    <t>waste_reduction_38pct</t>
  </si>
  <si>
    <t>YoY_reduction_12pct</t>
  </si>
  <si>
    <t>FY25_metrics</t>
  </si>
  <si>
    <t>Cross-checks with EXT_ICE_008 (Sustainability Report)</t>
  </si>
  <si>
    <t>Hard quantification of waste reduction (38% vs FY18 baseline, 12% YoY). Validates effectiveness of inventory management and supply chain strategies. Addresses RQ2.</t>
  </si>
  <si>
    <t>EXT_ICE_004</t>
  </si>
  <si>
    <t>This new technology, and an increased focus on our customer insight function, has driven better than ever retention of our online customers.</t>
  </si>
  <si>
    <t>p.6 (Online)</t>
  </si>
  <si>
    <t>customer_insight_focus</t>
  </si>
  <si>
    <t>technology_driven_retention</t>
  </si>
  <si>
    <t>online_performance</t>
  </si>
  <si>
    <t>Demand_Forecasting</t>
  </si>
  <si>
    <t>Links 'technology' and 'customer insight' directly to retention metrics. Shows the 'Value' (5Vs) derived from data analytics in the online channel. Addresses RQ1.</t>
  </si>
  <si>
    <t>EXT_ICE_005</t>
  </si>
  <si>
    <t>Amazon customers are over 90% incremental to Iceland Online and are opening the business to a larger customer base.</t>
  </si>
  <si>
    <t>incremental_data_90pct</t>
  </si>
  <si>
    <t>new_channel_analytics</t>
  </si>
  <si>
    <t>amazon_partnership</t>
  </si>
  <si>
    <t>TH_05</t>
  </si>
  <si>
    <t>Online_Competition</t>
  </si>
  <si>
    <t>5Vs_Volume</t>
  </si>
  <si>
    <t>Data-driven insight into customer segmentation. '90% incremental' proves use of data to validate channel strategy and demand sources. Addresses RQ3 (scaling opportunities).</t>
  </si>
  <si>
    <t>EXT_ICE_006</t>
  </si>
  <si>
    <t>Annual Sustainability Report 2024-2025</t>
  </si>
  <si>
    <t>https://sustainability.iceland.co.uk/wp-content/uploads/2025/11/24-25-ESG-Report.pdf</t>
  </si>
  <si>
    <t>Gander's technology allows customers to browse reduced items at nearby stores in real time... We trialled both of these programmes in 24/25 and saw hugely positive results. Therefore, they will be rolled out nationally in 25/26.</t>
  </si>
  <si>
    <t>p.17 (Food Waste Reduction Workstreams)</t>
  </si>
  <si>
    <t>real_time_markdown_visibility</t>
  </si>
  <si>
    <t>Gander_app_integration</t>
  </si>
  <si>
    <t>national_rollout_25/26</t>
  </si>
  <si>
    <t>Correlates with EXT_ICE_002 (dynamic markdowns)</t>
  </si>
  <si>
    <t>Explicitly identifies 'Gander's technology' as enabler for real-time inventory visibility to customers. Connects Stock Availability with Markdown Optimisation. National rollout 25/26. Addresses RQ1 &amp; RQ2.</t>
  </si>
  <si>
    <t>EXT_ICE_007</t>
  </si>
  <si>
    <t>To tackle our overall carbon emissions, in 2024 we introduced 'Green Mile', which is a dedicated project to reduce our scope 3 emissions by optimising load efficiency... This is a data driven project</t>
  </si>
  <si>
    <t>p.13 (Carbon Workstreams - Green Mile)</t>
  </si>
  <si>
    <t>Green_Mile_project</t>
  </si>
  <si>
    <t>data_driven_logistics</t>
  </si>
  <si>
    <t>load_efficiency_optimisation</t>
  </si>
  <si>
    <t>Transport_Efficiency</t>
  </si>
  <si>
    <t>Identifies specific 'data driven project' (Green Mile) for logistics optimisation. Demonstrates BD use for Transport Efficiency within SCOR Deliver phase. Secondary carbon benefit noted but primary focus is load efficiency. Addresses RQ1.</t>
  </si>
  <si>
    <t>EXT_ICE_008</t>
  </si>
  <si>
    <t>0.48% represents a 38% decrease in food surplus produced from our baseline year 2017/18 and a 12% reduction from our previous financial year.</t>
  </si>
  <si>
    <t>p.16 (Food Waste Reduction)</t>
  </si>
  <si>
    <t>food_waste_reduction_38pct</t>
  </si>
  <si>
    <t>operational_surplus_metric</t>
  </si>
  <si>
    <t>Cross-checks with EXT_ICE_003 (Financial Statements)</t>
  </si>
  <si>
    <t>Provides precise impact metrics (38% reduction vs 2017/18 baseline). Validates the 'Value' (5Vs) of data initiatives. Consistent with Financial Statement figure. Addresses RQ2.</t>
  </si>
  <si>
    <t>EXT_ICE_009</t>
  </si>
  <si>
    <t>In 2024 work started with edenseven to enhance our emissions reporting and management through their digital carbon platform, cero.earth... generate insights to support strategic decision-making.</t>
  </si>
  <si>
    <t>p.10 (Carbon - Overview)</t>
  </si>
  <si>
    <t>digital_carbon_platform</t>
  </si>
  <si>
    <t>cero_earth_implementation</t>
  </si>
  <si>
    <t>strategic_insight_generation</t>
  </si>
  <si>
    <t>Names specific digital platform (cero.earth) for 'strategic decision-making'. Highlights infrastructure investment required to manage data. While carbon-focused, demonstrates broader data platform adoption. Addresses RQ3.</t>
  </si>
  <si>
    <t>Carbon emissions platform - sustainability reporting, not inventory</t>
  </si>
  <si>
    <t>EXT_ICE_010</t>
  </si>
  <si>
    <t>The Move to -15°C is a sustainability initiative dedicated to cutting carbon emissions in the frozen food supply chain... This requires deep collaboration across both industry and academia, which the coalition aims to enable by encouraging knowledge sharing</t>
  </si>
  <si>
    <t>p.13 (Partnership with Minus 15 Coalition)</t>
  </si>
  <si>
    <t>frozen_supply_chain_temp_shift</t>
  </si>
  <si>
    <t>industry_academia_collaboration</t>
  </si>
  <si>
    <t>emission_reduction_initiative</t>
  </si>
  <si>
    <t>Second_Order</t>
  </si>
  <si>
    <t>Highlights need for 'knowledge sharing' and 'collaboration' (TOE Environment) to change supply chain parameters. Impacts inventory storage/energy costs. Iceland-specific as frozen food specialist. Addresses RQ3.</t>
  </si>
  <si>
    <t>Frozen food carbon initiative - sustainability, not inventory optimisation</t>
  </si>
  <si>
    <t>EXT_LID_001</t>
  </si>
  <si>
    <t>Lidl Great Britain Limited</t>
  </si>
  <si>
    <t>Annual Report and Financial Statements 2025</t>
  </si>
  <si>
    <t>https://find-and-update.company-information.service.gov.uk/company/02816429/filing-history</t>
  </si>
  <si>
    <t>60% of our stores now have energy data from sub-metered service entry units reporting live, every 15 minutes into our national platform... outputs from the system are provided to regions regularly to support improved analysis.</t>
  </si>
  <si>
    <t>p.25 (Directors' Report - Energy)</t>
  </si>
  <si>
    <t>energy_management_platform</t>
  </si>
  <si>
    <t>live_data_reporting_15min</t>
  </si>
  <si>
    <t>sub_metering_60pct_coverage</t>
  </si>
  <si>
    <t>Excellent example of 'Velocity' in Big Data: live streams of energy data every 15 minutes. 60% coverage indicates implementation in progress but significant scale. Addresses RQ1.</t>
  </si>
  <si>
    <t>08-01-2026</t>
  </si>
  <si>
    <t>Energy sub-metering - sustainability infrastructure, not inventory</t>
  </si>
  <si>
    <t>EXT_LID_002</t>
  </si>
  <si>
    <t>The Company also continues to issue weekly offers through its rewards app, Lidl Plus, which has now hit more than 11 million users in UK.</t>
  </si>
  <si>
    <t>p.4 (Strategic Report - Key Business Achievements)</t>
  </si>
  <si>
    <t>Lidl_Plus_11m_users</t>
  </si>
  <si>
    <t>digital_rewards_app</t>
  </si>
  <si>
    <t>customer_engagement_scale</t>
  </si>
  <si>
    <t>Omnichannel_Integration</t>
  </si>
  <si>
    <t>Quantifies the 'Volume' of customer data available (11 million users). This app is a primary source for demand forecasting data and personalised inventory marketing. Addresses RQ1.</t>
  </si>
  <si>
    <t>EXT_LID_003</t>
  </si>
  <si>
    <t>An initiative which was introduced to help achieve these targets is an electronic labelling system. This is estimated to save over 206 tonnes of carbon annually through paper and packaging reductions</t>
  </si>
  <si>
    <t>p.21 (Corporate Governance - Protecting the planet)</t>
  </si>
  <si>
    <t>electronic_labelling_system</t>
  </si>
  <si>
    <t>ESL_implementation</t>
  </si>
  <si>
    <t>process_digitisation</t>
  </si>
  <si>
    <t>Explicit mention of Electronic Shelf Labels (ESL). While framed as sustainability initiative, ESL is critical inventory pricing technology enabling dynamic markdown and real-time price updates. Secondary carbon benefit noted. Addresses RQ1.</t>
  </si>
  <si>
    <t>EXT_LID_004</t>
  </si>
  <si>
    <t>Progress (FY2025) 33% [against target] By 2030, we will have reduced Lidl GB's food waste by 50% (relative)</t>
  </si>
  <si>
    <t>p.16 (Strategic Report - Performance)</t>
  </si>
  <si>
    <t>food_waste_reduction_33pct</t>
  </si>
  <si>
    <t>2030_target_progress</t>
  </si>
  <si>
    <t>relative_reduction</t>
  </si>
  <si>
    <t>Cross-checks with Zero Waste narrative p.21</t>
  </si>
  <si>
    <t>Hard metric on waste reduction (33% progress toward 50% target), validating effectiveness of inventory control measures. Addresses RQ2.</t>
  </si>
  <si>
    <t>EXT_LID_005</t>
  </si>
  <si>
    <t>Construction taking place during the period on its Belvedere distribution centre to double its capacity, along with the completion of the expansion of its Bridgend distribution centre.</t>
  </si>
  <si>
    <t>p.4 (Strategic Report - Enhancing presence)</t>
  </si>
  <si>
    <t>RDC_capacity_doubling</t>
  </si>
  <si>
    <t>warehouse_infrastructure</t>
  </si>
  <si>
    <t>network_expansion</t>
  </si>
  <si>
    <t>Scalable_Architecture</t>
  </si>
  <si>
    <t>Physical infrastructure expansion ('doubling capacity') is prerequisite for scaling BD-driven supply chain operations. Supports SCOR Deliver phase analysis. Addresses RQ3.</t>
  </si>
  <si>
    <t>EXT_LID_006</t>
  </si>
  <si>
    <t>The Lidl Effect: Lidl GB's socioeconomic impact FY24</t>
  </si>
  <si>
    <t>https://corporate.lidl.co.uk/content/download/148017/file/Lidl%20GB%20The%20Lidl%20Effect%20SER%20FY24.pdf</t>
  </si>
  <si>
    <t>In 2024 alone, we donated 18.5 million meals through a combination of food surplus and customer donations, while continuing to invest in educational programmes</t>
  </si>
  <si>
    <t>p.2 (Introduction)</t>
  </si>
  <si>
    <t>surplus_donation_18.5m_meals</t>
  </si>
  <si>
    <t>food_waste_diversion</t>
  </si>
  <si>
    <t>community_investment</t>
  </si>
  <si>
    <t>Validated by EXT_LID_009 (Assurance Statement)</t>
  </si>
  <si>
    <t>Quantifies the output of inventory management 'return' processes (donation vs waste). The 18.5m meals figure is a key outcome of inventory surplus management system. Addresses RQ2.</t>
  </si>
  <si>
    <t>EXT_LID_007</t>
  </si>
  <si>
    <t>British suppliers, who already supply around two-thirds of the products we sell.</t>
  </si>
  <si>
    <t>British_sourcing_2/3rds</t>
  </si>
  <si>
    <t>supplier_localisation</t>
  </si>
  <si>
    <t>inventory_sourcing_strategy</t>
  </si>
  <si>
    <t>Sourcing 2/3rds from local suppliers impacts inventory velocity (shorter lead times) and risk. Relevant to SCOR Source and Plan phases. Addresses RQ1.</t>
  </si>
  <si>
    <t>EXT_LID_008</t>
  </si>
  <si>
    <t>The store's contribution will further add to the £14.5 billion in Gross Value Added (GVA) Lidl generated for the GB economy in 2024.</t>
  </si>
  <si>
    <t>GVA_contribution_£14.5bn</t>
  </si>
  <si>
    <t>economic_impact_scale</t>
  </si>
  <si>
    <t>market_value_creation</t>
  </si>
  <si>
    <t>Market_Concentration</t>
  </si>
  <si>
    <t>Shows scale of operation (£14.5bn GVA). Establishes Volume and Value context for Big Data implementation. Addresses RQ3 (scaling context).</t>
  </si>
  <si>
    <t>EXT_LID_009</t>
  </si>
  <si>
    <t>Consultancy</t>
  </si>
  <si>
    <t>Forvis Mazars LLP</t>
  </si>
  <si>
    <t>Independent Limited Assurance Report to the Directors of Lidl Great Britain Limited</t>
  </si>
  <si>
    <t>https://corporate.lidl.co.uk/pdf/show/148017</t>
  </si>
  <si>
    <t>Supporting_Evidence</t>
  </si>
  <si>
    <t>We have conducted a limited assurance engagement on the Subject Matter Information... disclosed in the Socio-Economic Impact Report FY24</t>
  </si>
  <si>
    <t>p.1 (Assurance Statement)</t>
  </si>
  <si>
    <t>independent_assurance_verification</t>
  </si>
  <si>
    <t>data_reliability_check</t>
  </si>
  <si>
    <t>FY24_reporting</t>
  </si>
  <si>
    <t>Confirms EXT_LID_006</t>
  </si>
  <si>
    <t>Independent auditor verification of non-financial metrics (including meal donations). Increases reliability/Veracity of data extracted in EXT_LID_006. Addresses RQ3 (data governance).</t>
  </si>
  <si>
    <t>EXT_LID_010</t>
  </si>
  <si>
    <t>Supplier classification may also create uncertainty, as sector codes do not always capture the full scope of a supplier's activities.</t>
  </si>
  <si>
    <t>p.27 (Methodology - Limitations)</t>
  </si>
  <si>
    <t>data_classification_uncertainty</t>
  </si>
  <si>
    <t>supplier_coding_limitations</t>
  </si>
  <si>
    <t>modelling_constraints</t>
  </si>
  <si>
    <t>TH_03</t>
  </si>
  <si>
    <t>Data_Quality_Issues</t>
  </si>
  <si>
    <t>CRITICAL: Explicit admission of data limitations regarding supplier classification codes. Direct evidence of Data Quality Issues (Veracity) acting as barrier to perfect analytics. Addresses RQ3 (challenges).</t>
  </si>
  <si>
    <t>EXT_LID_011</t>
  </si>
  <si>
    <t>Lidl GB Sustainability Report FY23/24: Beyond the Basket</t>
  </si>
  <si>
    <t>https://corporate.lidl.co.uk/content/download/146615/file/Lidl%20GB%20FY%202023-2024%20Beyond%20the%20basket%20report.pdf</t>
  </si>
  <si>
    <t>Since 2024, we have worked with Mondra and M2030, data reporting platforms, to carbon-footprint our products, track supplier emissions helping us to identify and take action on emissions hotspots within our supply chain</t>
  </si>
  <si>
    <t>p.19 (Future-ready supply chains)</t>
  </si>
  <si>
    <t>data_platforms_Mondra_M2030</t>
  </si>
  <si>
    <t>carbon_footprinting_analytics</t>
  </si>
  <si>
    <t>emission_hotspot_action</t>
  </si>
  <si>
    <t>Explicit naming of specific data platforms (Mondra, M2030) used for supply chain analytics. Demonstrates Technology aspect of TOE and move towards data-driven decision making. While carbon-focused, shows broader platform adoption pattern. Addresses RQ1.</t>
  </si>
  <si>
    <t>Carbon footprinting products/supplier emissions - sustainability, not inventory</t>
  </si>
  <si>
    <t>EXT_LID_012</t>
  </si>
  <si>
    <t>We have built a database of more than 7,000 individual supply chain sites that grow our food. Understanding where our food is coming from is key to identifying location-specific risks</t>
  </si>
  <si>
    <t>p.29 (Biodiversity)</t>
  </si>
  <si>
    <t>supply_chain_database_7000_sites</t>
  </si>
  <si>
    <t>location_specific_risk_ID</t>
  </si>
  <si>
    <t>upstream_visibility</t>
  </si>
  <si>
    <t>Quantifies scale of data collection (7,000 sites), directly addressing 'Volume' aspect of Big Data. This database enables granular risk management. Compare with Asda's 3Keel supplier data. Addresses RQ1.</t>
  </si>
  <si>
    <t>EXT_LID_013</t>
  </si>
  <si>
    <t>Our vacuum-packed beef mince packaging... reduces plastic use by a remarkable 63%... And it even doubles the shelf life of the mince and halves food waste while in store.</t>
  </si>
  <si>
    <t>p.25 (Packaging)</t>
  </si>
  <si>
    <t>shelf_life_doubled</t>
  </si>
  <si>
    <t>food_waste_halved</t>
  </si>
  <si>
    <t>vacuum_packaging_innovation</t>
  </si>
  <si>
    <t>Compare with EXT_ALD_003 (Aldi 7 days), EXT_ASD_007 (Asda 9 days)</t>
  </si>
  <si>
    <t>Technological innovation in packaging that directly alters inventory parameters (doubling shelf life, halving waste). Massive impact on inventory holding capacity. Compare with Aldi (7 days) and Asda (9 days) shelf life extensions. Addresses RQ2.</t>
  </si>
  <si>
    <t>EXT_LID_014</t>
  </si>
  <si>
    <t>In 2023, we launched a national donation KPI to track the proportion of unsold food that we send to good causes. Since we introduced it, we have increased our donation tonnage by over 300%.</t>
  </si>
  <si>
    <t>p.26 (Food too good to waste)</t>
  </si>
  <si>
    <t>donation_KPI_300pct_increase</t>
  </si>
  <si>
    <t>unsold_food_tracking</t>
  </si>
  <si>
    <t>waste_redistribution_efficiency</t>
  </si>
  <si>
    <t>Cross-checks with EXT_LID_006 (18.5m meals)</t>
  </si>
  <si>
    <t>Demonstrates power of 'Value' (5Vs) derived from simple data metrics (KPIs). The act of measuring and tracking drove 300% operational improvement. Direct evidence that data-driven management improves outcomes. Addresses RQ2.</t>
  </si>
  <si>
    <t>EXT_LID_015</t>
  </si>
  <si>
    <t>In 2024, we introduced a new open-book costing model, which brings transparency to the costs of production while also assuring minimum volumes and a fixed margin for our pork farmers.</t>
  </si>
  <si>
    <t>p.42 (Backing British)</t>
  </si>
  <si>
    <t>open_book_costing_model</t>
  </si>
  <si>
    <t>cost_transparency</t>
  </si>
  <si>
    <t>guaranteed_volumes</t>
  </si>
  <si>
    <t>'Open-book' implies data sharing between retailer and supplier. This transparency is key enabler for Big Data integration in SCOR Source phase. Addresses RQ3 (scaling enablers).</t>
  </si>
  <si>
    <t>EXT_MKS_001</t>
  </si>
  <si>
    <t>Marks and Spencer Group plc</t>
  </si>
  <si>
    <t>https://corporate.marksandspencer.com/sites/marksandspencer/files/2025-05/Marks-and-Spencer-Group-plc-Annual-Report-and-Financial-Statements-2025_INTERACTIVE_FINAL.pdf</t>
  </si>
  <si>
    <t>The roll out of the new forecasting and ordering system was completed. This helps to better match supply to variable demand... The 'One Best Way' retail operations programme is helping to improve productivity, reducing stock file errors and making the new forecasting system more effective.</t>
  </si>
  <si>
    <t>p.15 (Strategic Progress - Food)</t>
  </si>
  <si>
    <t>forecasting_ordering_system_rollout</t>
  </si>
  <si>
    <t>supply_demand_matching</t>
  </si>
  <si>
    <t>stock_file_error_reduction</t>
  </si>
  <si>
    <t>Direct confirmation of BD technology implementation ('forecasting and ordering system'). Explicitly links technology to 'variable demand' matching and 'stock file' accuracy. Addresses RQ1.</t>
  </si>
  <si>
    <t>EXT_MKS_002</t>
  </si>
  <si>
    <t>There is so much in our two main businesses that still requires investment and change: legacy systems, a supply chain in both Food and Fashion, Home &amp; Beauty which is well below industry leading standards and in some cases inefficient</t>
  </si>
  <si>
    <t>p.5 (Chairman's Letter)</t>
  </si>
  <si>
    <t>legacy_systems_inefficiency</t>
  </si>
  <si>
    <t>supply_chain_below_standard</t>
  </si>
  <si>
    <t>investment_requirement</t>
  </si>
  <si>
    <t>Legacy_Systems</t>
  </si>
  <si>
    <t>CRITICAL: Chairman's admission regarding 'legacy systems' being 'well below industry leading standards'. Strong evidence for Adoption Barriers (RQ3), validating need for digital transformation. Rare senior-level acknowledgment.</t>
  </si>
  <si>
    <t>EXT_MKS_003</t>
  </si>
  <si>
    <t>The acquisition of Gist has also delivered improved logistics service and a contribution of more than £60m to profit which provides the foundations for a long-term investment to modernise the network and create efficient capacity for growth.</t>
  </si>
  <si>
    <t>p.13 (Strategic Progress - Delivering target operating margins)</t>
  </si>
  <si>
    <t>logistics_profit_contribution_£60m</t>
  </si>
  <si>
    <t>Gist_acquisition_impact</t>
  </si>
  <si>
    <t>modernisation_foundation</t>
  </si>
  <si>
    <t>Cross-checks with financial review p.23</t>
  </si>
  <si>
    <t>Quantifies financial impact (£60m profit) of vertical integration (Gist acquisition). Structural change enables data-driven modernisation. Addresses RQ3 (scaling enablers).</t>
  </si>
  <si>
    <t>EXT_MKS_004</t>
  </si>
  <si>
    <t>This includes migration to the Ocado Smart Platform (OSP) solution across e-commerce, last-mile, supply chain, customer hub and trading systems... improving delivery efficiency and maximising capacity utilisation</t>
  </si>
  <si>
    <t>p.21 (Ocado Retail)</t>
  </si>
  <si>
    <t>Ocado_Smart_Platform_migration</t>
  </si>
  <si>
    <t>supply_chain_digitisation</t>
  </si>
  <si>
    <t>capacity_utilisation</t>
  </si>
  <si>
    <t>Cross-checks with Ocado Retail section</t>
  </si>
  <si>
    <t>Identifies specific BD/AI technology ('Ocado Smart Platform') for end-to-end supply chain visibility and efficiency. OSP is industry-leading automated fulfilment technology. Addresses RQ1 and RQ3.</t>
  </si>
  <si>
    <t>EXT_MKS_005</t>
  </si>
  <si>
    <t>This year, we donated the equivalent of 30m meals in surplus food through our partnership with Neighbourly, reaching the milestone of donating the equivalent of 100m meals over the last decade.</t>
  </si>
  <si>
    <t>p.7 (Our Markets - More Sustainable Choices)</t>
  </si>
  <si>
    <t>surplus_donation_30m_meals</t>
  </si>
  <si>
    <t>waste_redistribution_partnership</t>
  </si>
  <si>
    <t>Neighbourly_collaboration</t>
  </si>
  <si>
    <t>Cross-checks with ESG section p.37</t>
  </si>
  <si>
    <t>Quantifies SCOR Return phase outcome. Data-driven surplus identification enabled 30m meals donation (100m cumulative). Compare with Lidl's 18.5m meals. Addresses RQ2.</t>
  </si>
  <si>
    <t>EXT_MKS_006</t>
  </si>
  <si>
    <t>ESG Report 2025</t>
  </si>
  <si>
    <t>https://corporate.marksandspencer.com/sites/marksandspencer/files/2025-05/Marks-and-Spencer-Group-plc-ESG-Report-2025.pdf</t>
  </si>
  <si>
    <t>This year, we have completed the onboarding of suppliers representing 96% of our MMCF volume on to Textile Genesis. Not only does this platform give us visibility of our supply chain, but it also allows us to strengthen our compliance checks</t>
  </si>
  <si>
    <t>p.22 (Fashion, Home &amp; Beauty - Traceability)</t>
  </si>
  <si>
    <t>Textile_Genesis_96pct_coverage</t>
  </si>
  <si>
    <t>supply_chain_visibility_platform</t>
  </si>
  <si>
    <t>compliance_strengthening</t>
  </si>
  <si>
    <t>Explicit naming of 'Textile Genesis' platform for traceability. High coverage (96%) indicates maturity in upstream data gathering. While Fashion-focused, demonstrates BD platform adoption pattern applicable to Food. Addresses RQ1.</t>
  </si>
  <si>
    <t>Textile Genesis MMCF traceability - clothing sustainability, not food inventory</t>
  </si>
  <si>
    <t>EXT_MKS_007</t>
  </si>
  <si>
    <t>In 2023/24 we successfully modelled the carbon footprint of over 5,000 M&amp;S products across the Foodhall... This takes us to almost 6,000 products on the platform.</t>
  </si>
  <si>
    <t>p.23 (Food - Making our products with care)</t>
  </si>
  <si>
    <t>product_footprint_modelling_6000_SKUs</t>
  </si>
  <si>
    <t>Mondra_platform_analytics</t>
  </si>
  <si>
    <t>secondary_to_primary_data</t>
  </si>
  <si>
    <t>5Vs_Variety</t>
  </si>
  <si>
    <t>Compare with Lidl Mondra/M2030 usage (EXT_LID_011)</t>
  </si>
  <si>
    <t>Quantifies data volume (6,000 products) processed via Mondra analytics platform. Note: Lidl also uses Mondra (EXT_LID_011). Demonstrates BD use for granular product-level analysis. Addresses RQ1.</t>
  </si>
  <si>
    <t>Carbon footprint modelling products - sustainability, not inventory</t>
  </si>
  <si>
    <t>EXT_MKS_008</t>
  </si>
  <si>
    <t>In September 2024 we updated our in-store process to make our food redistribution data even more robust. While it was rolled out, the changeover resulted in a drop in data accuracy... from 85% to 80%</t>
  </si>
  <si>
    <t>p.26 (Food - Wasting as little as possible)</t>
  </si>
  <si>
    <t>data_accuracy_drop_5pct</t>
  </si>
  <si>
    <t>process_update_impact</t>
  </si>
  <si>
    <t>redistribution_data_robustness</t>
  </si>
  <si>
    <t>Compare with EXT_LID_010 (data classification uncertainty)</t>
  </si>
  <si>
    <t>CRITICAL: Rare explicit admission of 'drop in data accuracy' (85%→80%) caused by process update. Direct evidence of Data Quality Issues (Veracity) as barrier. Compare with Lidl's data classification admission. Addresses RQ3.</t>
  </si>
  <si>
    <t>EXT_MKS_009</t>
  </si>
  <si>
    <t>With our supplier partner Huntapac, we tested the impact of automation... This included a robot for seed bed forming and a self-driving tractor... the analysis showed an average fuel saving of 47% versus conventional methods.</t>
  </si>
  <si>
    <t>p.20 (Food - Lower-impact farming)</t>
  </si>
  <si>
    <t>automation_fuel_saving_47pct</t>
  </si>
  <si>
    <t>robotics_trial_Huntapac</t>
  </si>
  <si>
    <t>self_driving_tractor</t>
  </si>
  <si>
    <t>Labour_Optimisation</t>
  </si>
  <si>
    <t>Specific robotics/automation example (self-driving tractor) delivering hard efficiency metrics (47% fuel saving). Demonstrates BD-enabled precision agriculture in UK food supply chain. Addresses RQ1 and RQ2.</t>
  </si>
  <si>
    <t>Agricultural automation/fuel savings - farming operations, not retail inventory</t>
  </si>
  <si>
    <t>EXT_MKS_010</t>
  </si>
  <si>
    <t>Through Manufacture 2030... This includes over 200 partners which cover over 50% of our food supplier emissions... [we] have seen... a 26% increase in suppliers adopting Scope 1, 2 and 3 targets.</t>
  </si>
  <si>
    <t>supplier_data_platform_200_partners</t>
  </si>
  <si>
    <t>Manufacture_2030_engagement</t>
  </si>
  <si>
    <t>scope_3_target_adoption</t>
  </si>
  <si>
    <t>Shows scale of data integration with suppliers (200 partners, 50% emissions coverage). Manufacture 2030 platform enables Scope 3 data flow. Addresses RQ3 (scaling enablers via partnerships).</t>
  </si>
  <si>
    <t>Manufacture 2030 supplier emissions - sustainability platform, not inventory</t>
  </si>
  <si>
    <t>EXT_MOR_001</t>
  </si>
  <si>
    <t>Wm Morrison Supermarkets Limited</t>
  </si>
  <si>
    <t>Annual Report and Financial Statements for the 52 weeks ended 27 October 2024</t>
  </si>
  <si>
    <t>https://www.morrisons-corporate.com/globalassets/corporatesite/investor-centre/financialreports/documents/2023-24/wm-morrison-supermarkets-limited-2024-28-01-25.pdf</t>
  </si>
  <si>
    <t>Availability has improved significantly during the year, with our customer satisfaction scores improving by 9% year-on-year.</t>
  </si>
  <si>
    <t>p.6 (Financial results)</t>
  </si>
  <si>
    <t>availability_improvement_9pct</t>
  </si>
  <si>
    <t>customer_satisfaction_score</t>
  </si>
  <si>
    <t>YoY_improvement</t>
  </si>
  <si>
    <t>Links 'availability' (inventory outcome) directly to customer satisfaction metrics. 9% improvement suggests effective inventory management interventions. Addresses RQ1 and RQ2.</t>
  </si>
  <si>
    <t>EXT_MOR_002</t>
  </si>
  <si>
    <t>We have continued to leverage our loyalty scheme, the More Card, with swipe rates increasing to over 50% of transactions... allowing us to offer more personalised value to our customers.</t>
  </si>
  <si>
    <t>p.11 (Customers)</t>
  </si>
  <si>
    <t>More_Card_swipe_rate_50pct</t>
  </si>
  <si>
    <t>loyalty_scheme_adoption</t>
  </si>
  <si>
    <t>personalised_value_data</t>
  </si>
  <si>
    <t>Technology_Differentiation</t>
  </si>
  <si>
    <t>Compare with Lidl Plus 11m users (EXT_LID_002)</t>
  </si>
  <si>
    <t>High swipe rate (50%) indicates massive Volume of customer data being generated. Raw material for 'personalised value' (BD Analytics). Compare with Lidl Plus. Addresses RQ1.</t>
  </si>
  <si>
    <t>EXT_MOR_003</t>
  </si>
  <si>
    <t>In 2024, we reduced our operational food waste by 13% compared to the previous year, saving over 4,000 tonnes of food from going to waste.</t>
  </si>
  <si>
    <t>p.24 (Environment - Waste)</t>
  </si>
  <si>
    <t>operational_waste_reduction_13pct</t>
  </si>
  <si>
    <t>waste_savings_4000_tonnes</t>
  </si>
  <si>
    <t>metric_tonnage_reduction</t>
  </si>
  <si>
    <t>Cross-checks with ESG section; compare Aldi 72%, Iceland 38%</t>
  </si>
  <si>
    <t>Hard metric on waste efficiency (13% reduction, 4,000 tonnes). Demonstrates Value of operational controls and inventory management. Addresses RQ2.</t>
  </si>
  <si>
    <t>EXT_MOR_004</t>
  </si>
  <si>
    <t>Our vertically integrated supply chain model, 'Market Street', allows us to control the quality and freshness of over 50% of the fresh food we sell, giving us a unique advantage in managing inventory flow.</t>
  </si>
  <si>
    <t>p.4 (Business Model)</t>
  </si>
  <si>
    <t>vertical_integration_50pct_control</t>
  </si>
  <si>
    <t>inventory_flow_management</t>
  </si>
  <si>
    <t>Market_Street_model</t>
  </si>
  <si>
    <t>Highlights Morrisons' unique vertical integration (SCOR Make phase). Controlling 50% of fresh food allows tighter inventory control and swifter data reaction. Unique structural advantage. Addresses RQ1.</t>
  </si>
  <si>
    <t>EXT_MOR_005</t>
  </si>
  <si>
    <t>We continue to invest in our technology infrastructure to improve efficiency and cyber security resilience... Capital expenditure for the year was £453m, reflecting investment in our store estate and technology.</t>
  </si>
  <si>
    <t>p.9 (Financial Key Performance Indicators)</t>
  </si>
  <si>
    <t>capex_tech_investment_£453m</t>
  </si>
  <si>
    <t>infrastructure_efficiency</t>
  </si>
  <si>
    <t>resilience_investment</t>
  </si>
  <si>
    <t>Cross-checks with Cash Flow Statement</t>
  </si>
  <si>
    <t>Aggregated figure for Tech/Store investment (£453m). While broad, confirms significant capital allocation towards 'technology infrastructure' as enabler. Addresses RQ3.</t>
  </si>
  <si>
    <t>EXT_MOR_006</t>
  </si>
  <si>
    <t>Morrisons Sustainability Report 2023/2024</t>
  </si>
  <si>
    <t>https://www.morrisons-corporate.com/globalassets/corporatesite/sustainability/morrisons_sustainability_report_22_23_final.pdf</t>
  </si>
  <si>
    <t>used the data from Manufacture 2030 to feed into our revised Scope 3 model for the first time, ensuring accurate primary data is used. During FY23/24 over 200 suppliers reported data to us utilising M2030.</t>
  </si>
  <si>
    <t>p.12 (Carbon emissions in our supply chain)</t>
  </si>
  <si>
    <t>Manufacture_2030_platform</t>
  </si>
  <si>
    <t>primary_data_accuracy</t>
  </si>
  <si>
    <t>supplier_reporting_200_sites</t>
  </si>
  <si>
    <t>Compare M&amp;S M2030 usage (EXT_MKS_010), Lidl M2030 (EXT_LID_011)</t>
  </si>
  <si>
    <t>Highlights transition from secondary to primary data using M2030 platform. Third retailer using M2030 (after M&amp;S and Lidl). 200 suppliers reporting. Addresses RQ1 and RQ3.</t>
  </si>
  <si>
    <t>Manufacture 2030 Scope 3 reporting - sustainability, not inventory</t>
  </si>
  <si>
    <t>EXT_MOR_007</t>
  </si>
  <si>
    <t>In 2024 over 800 tonnes of food nearing the end of it's life was sold via Too Good To Go... saved more than 2 million Surprise bags since the beginning of our partnership in 2019</t>
  </si>
  <si>
    <t>p.15 (Food Waste - Too Good To Go)</t>
  </si>
  <si>
    <t>Too_Good_To_Go_sales_800t</t>
  </si>
  <si>
    <t>waste_redistribution_2m_bags</t>
  </si>
  <si>
    <t>partnership_expansion_930_stores</t>
  </si>
  <si>
    <t>Cross-checks with EXT_MOR_003 (13% waste reduction)</t>
  </si>
  <si>
    <t>Quantifies success of consumer-facing app (Too Good To Go) in reducing inventory waste. 800 tonnes sold (not wasted) is direct efficiency gain. 2m bags cumulative. Addresses RQ2.</t>
  </si>
  <si>
    <t>EXT_MOR_008</t>
  </si>
  <si>
    <t>We have continued to work with Map of Ag, building up several years worth of farm baseline emissions data. Baseline emissions footprinting is still being rolled out</t>
  </si>
  <si>
    <t>p.12 (Net zero agriculture)</t>
  </si>
  <si>
    <t>Map_of_Ag_data_collection</t>
  </si>
  <si>
    <t>farm_baseline_emissions</t>
  </si>
  <si>
    <t>longitudinal_data</t>
  </si>
  <si>
    <t>Compare Asda Land App trial (EXT_ASD_008)</t>
  </si>
  <si>
    <t>Identifies 'Map of Ag' as key data partner for farm-level visibility. 'Building up several years' indicates Volume/History aspect of Big Data being created. Compare with Asda's Land App. Addresses RQ1.</t>
  </si>
  <si>
    <t>Map of Ag farm emissions - agricultural sustainability, not inventory</t>
  </si>
  <si>
    <t>EXT_MOR_009</t>
  </si>
  <si>
    <t>Within FY23/24 our Scope 1 emissions increased by circa 7.2%... We also have improved data accuracy, capturing data that was previously estimated.</t>
  </si>
  <si>
    <t>p.11 (Energy efficiency in our own operations)</t>
  </si>
  <si>
    <t>data_accuracy_impact_7.2pct</t>
  </si>
  <si>
    <t>estimated_vs_actual_capture</t>
  </si>
  <si>
    <t>emissions_reporting_integrity</t>
  </si>
  <si>
    <t>Compare M&amp;S accuracy drop (EXT_MKS_008), Lidl data uncertainty (EXT_LID_010)</t>
  </si>
  <si>
    <t>CRITICAL: Clear example of Veracity issues - improved data capture led to reported INCREASE in emissions (7.2%). Demonstrates 'J-curve' of data adoption where visibility initially worsens reported metrics. Key evidence for RQ3 challenges.</t>
  </si>
  <si>
    <t>Scope 1 emissions reporting - sustainability accounting, not inventory</t>
  </si>
  <si>
    <t>EXT_MOR_010</t>
  </si>
  <si>
    <t>We internally monitor our water usage across all operations and use this data to identify any high consumption to alert our manufacturing sites to early identification of leaks... In FY23/24 we used 4,616,978 m³ of water... a 6% reduction</t>
  </si>
  <si>
    <t>p.16 (Operational Water Usage)</t>
  </si>
  <si>
    <t>water_usage_monitoring_data</t>
  </si>
  <si>
    <t>consumption_reduction_6pct</t>
  </si>
  <si>
    <t>Compare Aldi AMR devices (EXT_ALD_004, EXT_ALD_010)</t>
  </si>
  <si>
    <t>Demonstrates real-time (Velocity) data usage for operational efficiency ('early identification of leaks'). Direct link between data monitoring and resource reduction (6%). Compare with Aldi's AMR rollout. Addresses RQ1 and RQ2.</t>
  </si>
  <si>
    <t>Water usage monitoring - sustainability, not inventory</t>
  </si>
  <si>
    <t>EXT_OCA_001</t>
  </si>
  <si>
    <t>Ocado Retail Limited</t>
  </si>
  <si>
    <t>https://ocadoretail.com/wp-content/uploads/2025/09/OCADO-ANNUAL-REPORT_2025.pdf</t>
  </si>
  <si>
    <t>For the 12 month period to 1 December 2024, food waste represented 0.49% of food handled (0.43% for 12-month period to 3 December in 2023). This is a 17% reduction against Ocado Retail's baseline (0.59% in 2022)</t>
  </si>
  <si>
    <t>p.30 (Environment)</t>
  </si>
  <si>
    <t>food_waste_0.49pct</t>
  </si>
  <si>
    <t>industry_leading_low</t>
  </si>
  <si>
    <t>YoY_increase_0.1pct</t>
  </si>
  <si>
    <t>Cross-checks with EXT_OCA_006 (0.49%)</t>
  </si>
  <si>
    <t>CRITICAL: Exceptionally low waste figure (0.49%) validates efficiency of centralised, data-driven inventory model. Industry-leading benchmark. Compare with traditional retailers (Aldi 72% reduction, not absolute). Addresses RQ2.</t>
  </si>
  <si>
    <t>Corrected page number from 22 to 30</t>
  </si>
  <si>
    <t>EXT_OCA_002</t>
  </si>
  <si>
    <t>Perfect Execution is our programme to improve our customer proposition... improving availability and freshness, and reducing substitutions... Substitutions have reduced by 30% year-on-year.</t>
  </si>
  <si>
    <t>p.4 (Strategic Report - Perfect Execution)</t>
  </si>
  <si>
    <t>substitutions_reduction_30pct</t>
  </si>
  <si>
    <t>availability_freshness_improvement</t>
  </si>
  <si>
    <t>Perfect_Execution_programme</t>
  </si>
  <si>
    <t>Direct evidence of inventory accuracy improvement. 30% drop in substitutions implies significantly better demand forecasting and real-time stock visibility. Key BD application. Addresses RQ1 and RQ2.</t>
  </si>
  <si>
    <t>EXT_OCA_003</t>
  </si>
  <si>
    <t>Active customers have grown by 12.3% to 1.07 million... driven by our 'Big Price Drop' and improved service.</t>
  </si>
  <si>
    <t>p.6 (Key Performance Indicators)</t>
  </si>
  <si>
    <t>active_customers_1.07m</t>
  </si>
  <si>
    <t>customer_growth_12.3pct</t>
  </si>
  <si>
    <t>big_price_drop_impact</t>
  </si>
  <si>
    <t>Cross-checks with Financial Review p.7</t>
  </si>
  <si>
    <t>Quantifies Volume of customer base (1.07m). Growth increases data pool for predictive analytics, reinforcing BD feedback loop. Compare with Lidl Plus 11m (different model). Addresses RQ1.</t>
  </si>
  <si>
    <t>EXT_OCA_004</t>
  </si>
  <si>
    <t>The migration of our Bristol CFC to the Ocado Smart Platform (OSP) was completed in the period. This provides us with the latest generation of robotic fulfilment technology.</t>
  </si>
  <si>
    <t>p.8 (Financial Review - Operations)</t>
  </si>
  <si>
    <t>OSP_migration_Bristol</t>
  </si>
  <si>
    <t>robotic_fulfilment</t>
  </si>
  <si>
    <t>latest_generation_tech</t>
  </si>
  <si>
    <t>Compare M&amp;S OSP migration (EXT_MKS_004)</t>
  </si>
  <si>
    <t>Explicit mention of 'Ocado Smart Platform' (OSP) and 'robotic fulfilment'. Core technological enabler (TOE) for inventory management. Note: M&amp;S also uses OSP. Addresses RQ1 and RQ3.</t>
  </si>
  <si>
    <t>EXT_OCA_005</t>
  </si>
  <si>
    <t>We have leveraged the 'Ocado Price Promise', which matches the price of like-for-like products... This is supported by our sophisticated data matching technology.</t>
  </si>
  <si>
    <t>p.5 (Ocado Retail at a Glance)</t>
  </si>
  <si>
    <t>algorithmic_price_matching</t>
  </si>
  <si>
    <t>Ocado_Price_Promise</t>
  </si>
  <si>
    <t>data_matching_tech</t>
  </si>
  <si>
    <t>'Sophisticated data matching technology' explicitly cited as enabler for pricing strategy. Demonstrates Value generation through competitor data analysis. Addresses RQ1.</t>
  </si>
  <si>
    <t>EXT_OCA_006</t>
  </si>
  <si>
    <t>Sustainability Report for the 70 weeks ended 6 April 2025</t>
  </si>
  <si>
    <t>https://sustainability.ocadoretail.com/wp-content/uploads/2025/09/Ocado-Sustainability-Report-2024-2025.pdf</t>
  </si>
  <si>
    <t>Reduce food waste in our own operations... 0.49% (2024 FY) [vs] 0.59% (2022)</t>
  </si>
  <si>
    <t>p.52 (Our governance and reporting - Food waste)</t>
  </si>
  <si>
    <t>baseline_comparison_0.59pct</t>
  </si>
  <si>
    <t>Cross-checks with EXT_OCA_001 (0.5%)</t>
  </si>
  <si>
    <t>Precise metric (0.49%) confirms high inventory accuracy. Shows improvement from 0.59% baseline (2022). Cross-validates Annual Report figure. Industry-leading performance. Addresses RQ2.</t>
  </si>
  <si>
    <t>EXT_OCA_007</t>
  </si>
  <si>
    <t>Eliminate unnecessary packaging, minimise material use... Total tonnage removed... 44.5 tonnes [in 2024 FY]</t>
  </si>
  <si>
    <t>p.52 (Our governance and reporting - Responsible packaging)</t>
  </si>
  <si>
    <t>packaging_reduction_44.5t</t>
  </si>
  <si>
    <t>material_use_minimisation</t>
  </si>
  <si>
    <t>tonnage_removed_metric</t>
  </si>
  <si>
    <t>Quantifies physical reduction of packaging (44.5t). Links Make phase efficiency to reduced material handling costs. Secondary environmental benefit noted. Addresses RQ2.</t>
  </si>
  <si>
    <t>Packaging tonnage reduction - sustainability, not inventory optimisation</t>
  </si>
  <si>
    <t>EXT_OCA_008</t>
  </si>
  <si>
    <t>Working together: Powering innovation and collaborations that drive systemic change... Our online reusable packaging scheme</t>
  </si>
  <si>
    <t>p.2 (Contents - Innovation)</t>
  </si>
  <si>
    <t>reusable_packaging_scheme</t>
  </si>
  <si>
    <t>online_reuse_system</t>
  </si>
  <si>
    <t>systemic_change_innovation</t>
  </si>
  <si>
    <t>'Online reusable packaging scheme' implies BD application for asset tracking/reverse logistics. Innovation in Return phase requiring data systems. Addresses RQ1.</t>
  </si>
  <si>
    <t>Reusable packaging scheme - sustainability initiative, not inventory</t>
  </si>
  <si>
    <t>EXT_OCA_009</t>
  </si>
  <si>
    <t>From farm to freezer with The Felix Project</t>
  </si>
  <si>
    <t>p.2 (Contents - Communities)</t>
  </si>
  <si>
    <t>Felix_Project_partnership</t>
  </si>
  <si>
    <t>farm_to_freezer_initiative</t>
  </si>
  <si>
    <t>surplus_redistribution</t>
  </si>
  <si>
    <t>Compare M&amp;S Neighbourly (EXT_MKS_005), Morrisons Too Good To Go (EXT_MOR_007)</t>
  </si>
  <si>
    <t>Specific partnership (Felix Project) and supply chain initiative (Farm to freezer) to manage surplus. Different redistribution model to M&amp;S/Morrisons. Addresses RQ3.</t>
  </si>
  <si>
    <t>EXT_OCA_010</t>
  </si>
  <si>
    <t>Reduce food waste in our own operations by 20% by 2025 and halve it by 2030 (against a 2022 baseline).</t>
  </si>
  <si>
    <t>p.52 (Our governance and reporting - Targets)</t>
  </si>
  <si>
    <t>waste_reduction_target_20pct</t>
  </si>
  <si>
    <t>halving_waste_2030</t>
  </si>
  <si>
    <t>2022_baseline</t>
  </si>
  <si>
    <t>Cross-checks with EXT_OCA_006 progress metrics</t>
  </si>
  <si>
    <t>Explicit strategic target (20% by 2025, 50% by 2030) drives investment in BD/AI forecasting technologies. Target-driven approach. Addresses RQ3.</t>
  </si>
  <si>
    <t>EXT_OCA_011</t>
  </si>
  <si>
    <t>In addition to improving our capacity utilisation, we have increased the efficiency of our network with average units per hour (UPH) rising to 225, up 11.9% versus last period (FY24: 201)</t>
  </si>
  <si>
    <t>p.4 (Chief Executive review)</t>
  </si>
  <si>
    <t>UPH_increase_to_225</t>
  </si>
  <si>
    <t>OGRP_robotic_pick_rollout</t>
  </si>
  <si>
    <t>11.9pct_productivity_increase</t>
  </si>
  <si>
    <t xml:space="preserve">Highlights operational efficiency metrics (UPH, % increase) </t>
  </si>
  <si>
    <t>EXT_SAI_001</t>
  </si>
  <si>
    <t>J Sainsbury plc</t>
  </si>
  <si>
    <t>https://corporate.sainsburys.co.uk/media/e1lfnybd/sainsbury-annual-report-and-financial-statements-2025.pdf</t>
  </si>
  <si>
    <t>We have delivered £230 million of cost savings this year, taking the cumulative total to £1.1 billion since the launch of our Save to Invest programme. This has been driven by end-to-end efficiency programmes including supply chain automation and digitisation.</t>
  </si>
  <si>
    <t>p.18 (Financial Review - Cost Savings)</t>
  </si>
  <si>
    <t>cost_savings_£230m</t>
  </si>
  <si>
    <t>Save_to_Invest_£1.1bn_cumulative</t>
  </si>
  <si>
    <t>Working_Capital_Improvement</t>
  </si>
  <si>
    <t>Cross-checks with Save to Invest strategy section</t>
  </si>
  <si>
    <t>CRITICAL: Quantifies financial impact (£230m annual, £1.1bn cumulative) of efficiency programmes. Explicitly links 'supply chain automation and digitisation' to savings, confirming ROI of BD/Tech. Largest quantified BD ROI in dataset. Addresses RQ2.</t>
  </si>
  <si>
    <t>EXT_SAI_002</t>
  </si>
  <si>
    <t>Nectar360, our loyalty and insights platform, has delivered record profit contribution... Nectar participation in our supermarkets is now over 80%.</t>
  </si>
  <si>
    <t>p.12 (Strategic Progress - Nectar)</t>
  </si>
  <si>
    <t>Nectar_participation_80pct</t>
  </si>
  <si>
    <t>loyalty_insights_profit</t>
  </si>
  <si>
    <t>data_monetisation</t>
  </si>
  <si>
    <t>Compare Morrisons More Card 50% (EXT_MOR_002), Lidl Plus 11m (EXT_LID_002)</t>
  </si>
  <si>
    <t>80% participation indicates massive Volume of customer data. Nectar360 is commercial vehicle for monetising this Value. Highest loyalty participation rate in dataset. Addresses RQ1.</t>
  </si>
  <si>
    <t>EXT_SAI_003</t>
  </si>
  <si>
    <t>Our food waste reduction programme has achieved a 14% year-on-year reduction in operational waste intensity... supported by the rollout of AI-enabled forecasting tools across fresh categories.</t>
  </si>
  <si>
    <t>p.34 (Sustainability - Waste)</t>
  </si>
  <si>
    <t>waste_intensity_reduction_14pct</t>
  </si>
  <si>
    <t>AI_forecasting_rollout</t>
  </si>
  <si>
    <t>fresh_category_focus</t>
  </si>
  <si>
    <t>Cross-checks with ESG scorecard</t>
  </si>
  <si>
    <t>CRITICAL: Direct evidence of 'AI-enabled forecasting' (Technology) driving physical reduction in waste (14%). First explicit AI mention for forecasting in dataset. Addresses RQ1 and RQ2.</t>
  </si>
  <si>
    <t>EXT_SAI_004</t>
  </si>
  <si>
    <t>Capital expenditure increased to £830 million (2024: £786 million), reflecting our accelerated investment in technology infrastructure and automation to drive future efficiencies.</t>
  </si>
  <si>
    <t>p.52 (Financial Review - Capital Expenditure)</t>
  </si>
  <si>
    <t>capex_tech_investment_£830m</t>
  </si>
  <si>
    <t>automation_infrastructure</t>
  </si>
  <si>
    <t>future_efficiency_drive</t>
  </si>
  <si>
    <t>Cross-checks with Cash Flow statement; compare Asda £867m (EXT_ASD_003)</t>
  </si>
  <si>
    <t>Aggregated capex figure (£830m) confirms scale of financial enabler for digital transformation. Tech explicitly named as driver. Compare with Asda Project Future £867m. Addresses RQ3.</t>
  </si>
  <si>
    <t>EXT_SAI_005</t>
  </si>
  <si>
    <t>Grocery availability improved by 250 basis points year-on-year... driven by improved supplier collaboration and the implementation of our new real-time inventory management system.</t>
  </si>
  <si>
    <t>p.8 (Chief Executive's Letter)</t>
  </si>
  <si>
    <t>availability_improvement_250bps</t>
  </si>
  <si>
    <t>real_time_inventory_system</t>
  </si>
  <si>
    <t>supplier_collaboration</t>
  </si>
  <si>
    <t>Compare Morrisons 9% availability improvement (EXT_MOR_001)</t>
  </si>
  <si>
    <t>Hard metric for inventory performance (+250bps availability). Attributes to 'real-time inventory management' (Velocity) and supplier collaboration. Addresses RQ1 and RQ2.</t>
  </si>
  <si>
    <t>EXT_SAI_006</t>
  </si>
  <si>
    <t>Plan for Better: Sustainability Report 2025</t>
  </si>
  <si>
    <t>https://corporate.sainsburys.co.uk/media/dfkfh1jr/sainsburys-plan-for-better-report-2024-25.pdf</t>
  </si>
  <si>
    <t>Responsible Antibiotic Use: Key animal supply chains achieving Sainsbury's responsible use targets for total antibiotic use: All species... 82.0%</t>
  </si>
  <si>
    <t>p.38 (Animal health and welfare - Performance)</t>
  </si>
  <si>
    <t>antibiotic_use_target_achievement_82pct</t>
  </si>
  <si>
    <t>supply_chain_monitoring</t>
  </si>
  <si>
    <t>responsible_use_targets</t>
  </si>
  <si>
    <t>Demonstrates data monitoring for 'Responsible Antibiotic Use' across entire upstream supply chain (Source phase). Requires aggregation of data from thousands of farmers. Addresses RQ1.</t>
  </si>
  <si>
    <t>EXT_SAI_007</t>
  </si>
  <si>
    <t>Critically Important Antibiotic Use: key animal supply chains achieving Sainsbury's responsible use targets for antibiotics deemed critically important for human health (CIAs): All species... 86.7%</t>
  </si>
  <si>
    <t>CIA_reduction_target_86.7pct</t>
  </si>
  <si>
    <t>critical_health_metrics</t>
  </si>
  <si>
    <t>human_health_impact</t>
  </si>
  <si>
    <t>Specific tracking of 'Critically Important Antibiotics' (CIA) highlights granularity (Variety) of data collected. 86.7% compliance indicates strong but not perfect control. Addresses RQ1.</t>
  </si>
  <si>
    <t>EXT_SAI_008</t>
  </si>
  <si>
    <t>Continuous Improvement of Outcome KPIs: animal health and welfare outcome KPIs achieving Sainsbury's KPI performance targets: All species... Physical wellbeing 95.7% (2024)</t>
  </si>
  <si>
    <t>physical_wellbeing_KPI_95.7pct</t>
  </si>
  <si>
    <t>outcome_KPI_tracking</t>
  </si>
  <si>
    <t>welfare_performance</t>
  </si>
  <si>
    <t>Quantifies 'Physical wellbeing' of livestock using outcome KPIs. Source phase data used to verify ethical standards and product quality. Demonstrates BD in agricultural supply chain. Addresses RQ1.</t>
  </si>
  <si>
    <t>EXT_SAI_009</t>
  </si>
  <si>
    <t>Continuous Improvement of Outcome KPIs: animal health and welfare outcome KPIs achieving Sainsbury's KPI performance targets: All species... Mental wellbeing 62.7% (2024)</t>
  </si>
  <si>
    <t>mental_wellbeing_KPI_62.7pct</t>
  </si>
  <si>
    <t>Tracks 'Mental wellbeing' of livestock (62.7%). Ability to capture and quantify such qualitative metric across 'All species' proves advanced data capability in upstream supply chain. Addresses RQ1.</t>
  </si>
  <si>
    <t>EXT_SAI_010</t>
  </si>
  <si>
    <t>In relation to our target on Critically Important Antibiotic Use (CIA), reduction year-on-year is dependent on the need to use antibiotics to protect animal health and welfare, which is driven by natural fluctuations in disease.</t>
  </si>
  <si>
    <t>p.38 (Animal health and welfare - Performance commentary)</t>
  </si>
  <si>
    <t>data_variance_explanation</t>
  </si>
  <si>
    <t>natural_fluctuation_dependency</t>
  </si>
  <si>
    <t>disease_driven_usage</t>
  </si>
  <si>
    <t>Compare Morrisons J-curve effect (EXT_MOR_009)</t>
  </si>
  <si>
    <t>Explains why data/metrics fluctuate (disease/nature). Highlights Veracity challenge in target setting for biological supply chains. Different type of data quality issue to M&amp;S/Lidl/Morrisons. Addresses RQ3.</t>
  </si>
  <si>
    <t>EXT_TES_001</t>
  </si>
  <si>
    <t>Tesco PLC</t>
  </si>
  <si>
    <t>https://www.tescoplc.com/media/ky0bfwpo/tesco_ar25_interactive.pdf</t>
  </si>
  <si>
    <t>We are using AI to improve the relevance of our range and promotions for customers. This has delivered a 10% uplift in promotional participation and improved availability by 1.5 percentage points.</t>
  </si>
  <si>
    <t>p.14 (Strategic priorities - Digital)</t>
  </si>
  <si>
    <t>AI_range_optimisation</t>
  </si>
  <si>
    <t>availability_uplift_1.5ppt</t>
  </si>
  <si>
    <t>promotional_participation_10pct</t>
  </si>
  <si>
    <t>CRITICAL: Direct evidence of AI application in inventory/range management. Quantifies operational benefit (1.5pp availability). Second explicit AI mention in dataset (after Sainsbury's). Addresses RQ1 and RQ2.</t>
  </si>
  <si>
    <t>EXT_TES_002</t>
  </si>
  <si>
    <t>Clubcard sales penetration has increased to 82% (2024: 80%)... identifying over 18 million active households, giving us an unrivalled understanding of British shoppers.</t>
  </si>
  <si>
    <t>Clubcard_penetration_82pct</t>
  </si>
  <si>
    <t>active_households_18m</t>
  </si>
  <si>
    <t>customer_insight_scale</t>
  </si>
  <si>
    <t>Compare Sainsbury's Nectar 80% (EXT_SAI_002)</t>
  </si>
  <si>
    <t>Quantifies Volume of data (18m households, 82% penetration). Massive dataset is foundation for all BD initiatives. Compare with Sainsbury's Nectar 80%. Largest customer database in dataset. Addresses RQ1.</t>
  </si>
  <si>
    <t>EXT_TES_003</t>
  </si>
  <si>
    <t>We have delivered c.£640m of efficiency savings this year towards our multi-year £1bn target... supported by the rollout of automated stock ordering to a further 1,200 stores.</t>
  </si>
  <si>
    <t>p.9 (Financial Review - Efficiency)</t>
  </si>
  <si>
    <t>efficiency_savings_£640m</t>
  </si>
  <si>
    <t>automated_ordering_rollout</t>
  </si>
  <si>
    <t>multi_year_target_£1bn</t>
  </si>
  <si>
    <t>Compare Sainsbury's £230m/£1.1bn (EXT_SAI_001)</t>
  </si>
  <si>
    <t>Explicit link between efficiency savings (£640m) and 'automated stock ordering'. Validates ROI of BD/Automation in Plan phase. Compare with Sainsbury's £230m. Addresses RQ2.</t>
  </si>
  <si>
    <t>EXT_TES_004</t>
  </si>
  <si>
    <t>We have reduced food waste in our own operations by 6% year-on-year... reducing the amount of food wasted to 0.35% of food handled.</t>
  </si>
  <si>
    <t>p.32 (Sustainability - Waste)</t>
  </si>
  <si>
    <t>food_waste_reduction_6pct</t>
  </si>
  <si>
    <t>waste_percent_0.35pct</t>
  </si>
  <si>
    <t>Compare Ocado 0.49% (EXT_OCA_006)</t>
  </si>
  <si>
    <t>Hard metric for waste (0.35% of food handled). Lower than Ocado's 0.49% - Tesco achieves better absolute waste rate despite store-based model. Addresses RQ2.</t>
  </si>
  <si>
    <t>EXT_TES_005</t>
  </si>
  <si>
    <t>Our 'Tesco Marketplace' has expanded... adding over 100,000 new products... leveraging our existing supply chain infrastructure and digital platform to offer more choice.</t>
  </si>
  <si>
    <t>p.16 (Strategic priorities - Growth)</t>
  </si>
  <si>
    <t>Marketplace_SKU_expansion</t>
  </si>
  <si>
    <t>digital_platform_leverage</t>
  </si>
  <si>
    <t>supply_chain_integration</t>
  </si>
  <si>
    <t>Shows how digital platforms (Marketplace) allow massive SKU expansion (100k products) without proportionate physical inventory risk. Variety dimension of BD. Addresses RQ1.</t>
  </si>
  <si>
    <t>EXT_TES_006</t>
  </si>
  <si>
    <t>Tesco Sustainability Report 2024/25</t>
  </si>
  <si>
    <t>https://www.tescoplc.com/media/wvkj1yic/tesco-sustainability-report-2025.pdf</t>
  </si>
  <si>
    <t>In 2024/25, 117 suppliers reported back, the highest number to date, representing over 60% of fresh food sales in the UK. Our data tell us what gets measured gets managed</t>
  </si>
  <si>
    <t>p.16 (Food Waste - Working with our suppliers)</t>
  </si>
  <si>
    <t>supplier_reporting_117_partners</t>
  </si>
  <si>
    <t>fresh_food_coverage_60pct</t>
  </si>
  <si>
    <t>measurement_management</t>
  </si>
  <si>
    <t>Compare Morrisons M2030 200 suppliers (EXT_MOR_006)</t>
  </si>
  <si>
    <t>High coverage (60%) of supplier reporting indicates mature Source phase data integration. Essential for Scope 3 visibility and upstream inventory waste management. Addresses RQ1 and RQ3.</t>
  </si>
  <si>
    <t>Supplier sustainability reporting - ESG data collection, not inventory</t>
  </si>
  <si>
    <t>EXT_TES_007</t>
  </si>
  <si>
    <t>Our footprint calculations were mainly based on secondary emissions factors... but we're working towards incorporating primary data... emissions from our milk supply chain now consist of primary data</t>
  </si>
  <si>
    <t>p.10 (Climate change - Scope 3 methodology)</t>
  </si>
  <si>
    <t>primary_data_transition</t>
  </si>
  <si>
    <t>milk_supply_chain_analytics</t>
  </si>
  <si>
    <t>secondary_to_primary_shift</t>
  </si>
  <si>
    <t>Compare Morrisons J-curve (EXT_MOR_009), M&amp;S accuracy (EXT_MKS_008)</t>
  </si>
  <si>
    <t>Explicit acknowledgement of shift from 'secondary' (estimated) to 'primary' (measured) data. Improves Veracity. Key evidence of data quality improvement journey. Addresses RQ3.</t>
  </si>
  <si>
    <t>Emissions factors/milk footprint - sustainability accounting, not inventory</t>
  </si>
  <si>
    <t>EXT_TES_008</t>
  </si>
  <si>
    <t>We have developed an AI governance framework to ensure that any AI technologies utilised by the business are implemented are fair, safe, transparent, explainable, accountable and sustainable</t>
  </si>
  <si>
    <t>p.57 (SASB content index - Data security)</t>
  </si>
  <si>
    <t>AI_governance_framework</t>
  </si>
  <si>
    <t>fair_safe_transparent</t>
  </si>
  <si>
    <t>accountable_sustainable</t>
  </si>
  <si>
    <t>Data_Governance</t>
  </si>
  <si>
    <t>CRITICAL: Only extract mentioning formal 'AI Governance Framework'. Addresses black-box risk by mandating 'explainable' AI. Key organizational enabler/barrier removal. Addresses RQ3.</t>
  </si>
  <si>
    <t>EXT_TES_009</t>
  </si>
  <si>
    <t>82% of unsold food safe for human consumption in the UK redistributed to humans or animals... (14)% percentage change in tonnes of food wasted... compared to baseline</t>
  </si>
  <si>
    <t>p.47 (Databook - Food waste)</t>
  </si>
  <si>
    <t>waste_redistribution_82pct</t>
  </si>
  <si>
    <t>waste_reduction_14pct</t>
  </si>
  <si>
    <t>UK_redistribution</t>
  </si>
  <si>
    <t>Cross-checks with Annual Report waste metrics</t>
  </si>
  <si>
    <t>Hard metrics for Return phase. 82% redistribution rate is direct outcome of inventory management systems identifying surplus. 14% reduction vs baseline. Addresses RQ2.</t>
  </si>
  <si>
    <t>EXT_TES_010</t>
  </si>
  <si>
    <t>The latest 'Tesco train' can move 600,000 cases each week... Across our network, 85% of all outbound goods from Daventry Distribution Centre are moved by rail</t>
  </si>
  <si>
    <t>p.11 (Climate change - Transport)</t>
  </si>
  <si>
    <t>rail_freight_600k_cases</t>
  </si>
  <si>
    <t>Daventry_outbound_85pct</t>
  </si>
  <si>
    <t>modal_shift_efficiency</t>
  </si>
  <si>
    <t>Quantifies logistics volume (600k cases/week) managed via rail. Requires precise scheduling data (Velocity) to integrate with DC operations. Primary cost benefit is transport efficiency. Addresses RQ1.</t>
  </si>
  <si>
    <t>EXT_WAI_001</t>
  </si>
  <si>
    <t>John Lewis plc (Waitrose)</t>
  </si>
  <si>
    <t>Annual Report and Accounts 2025</t>
  </si>
  <si>
    <t>https://find-and-update.company-information.service.gov.uk/company/00233462/filing-history</t>
  </si>
  <si>
    <t>Availability was strong at 96.5%... supported by our focus on simpler, more efficient processes and investment in supply chain technology.</t>
  </si>
  <si>
    <t>p.8 (Waitrose Trading Review)</t>
  </si>
  <si>
    <t>availability_96.5pct</t>
  </si>
  <si>
    <t>supply_chain_tech_investment</t>
  </si>
  <si>
    <t>process_simplification</t>
  </si>
  <si>
    <t>Quantifies Availability (96.5%) as key output of 'supply chain technology'. Directly links tech investment to operational performance. Highest availability figure in dataset. Addresses RQ1.</t>
  </si>
  <si>
    <t>EXT_WAI_002</t>
  </si>
  <si>
    <t>Waitrose wastage was reduced by 10% year-on-year, driven by improved forecasting accuracy and our 'waste less, save more' initiatives.</t>
  </si>
  <si>
    <t>p.9 (Waitrose Trading Review)</t>
  </si>
  <si>
    <t>waste_reduction_10pct</t>
  </si>
  <si>
    <t>forecasting_accuracy</t>
  </si>
  <si>
    <t>waste_less_save_more</t>
  </si>
  <si>
    <t>Cross-checks with ESG section</t>
  </si>
  <si>
    <t>Direct evidence of 'improved forecasting' (Analytics) driving 10% reduction in physical waste. Clear BD-outcome link. Addresses RQ2.</t>
  </si>
  <si>
    <t>EXT_WAI_003</t>
  </si>
  <si>
    <t>We have invested £112m in technology this year, including the early stages of a new ERP system to replace legacy infrastructure and improve data visibility across the Partnership.</t>
  </si>
  <si>
    <t>p.14 (Financial Review - Capital Investment)</t>
  </si>
  <si>
    <t>tech_investment_£112m</t>
  </si>
  <si>
    <t>ERP_replacement</t>
  </si>
  <si>
    <t>legacy_infrastructure_barrier</t>
  </si>
  <si>
    <t>Cross-checks with Cash Flow statement</t>
  </si>
  <si>
    <t>Explicitly names 'legacy infrastructure' as something being replaced. Cost (£112m) and goal ('data visibility') highlight barrier/enabler dynamic. Compare M&amp;S legacy admission. Addresses RQ3.</t>
  </si>
  <si>
    <t>EXT_WAI_004</t>
  </si>
  <si>
    <t>Our partnership with Uber Eats has expanded to over 200 stores, leveraging real-time inventory data to offer customers delivery in as little as 20 minutes.</t>
  </si>
  <si>
    <t>p.8 (Waitrose Trading Review - Online)</t>
  </si>
  <si>
    <t>Uber_Eats_200_stores</t>
  </si>
  <si>
    <t>real_time_inventory_data</t>
  </si>
  <si>
    <t>rapid_delivery_scaling</t>
  </si>
  <si>
    <t>Demonstrates 'real-time inventory data' (Velocity) enabling new commercial channels (Uber Eats). 200 stores shows maturity. 20-minute delivery requires precise stock visibility. Addresses RQ1.</t>
  </si>
  <si>
    <t>EXT_WAI_005</t>
  </si>
  <si>
    <t>Partnership operational cash flow improved by £180m, partly due to tighter working capital management and a reduction in stock holding days.</t>
  </si>
  <si>
    <t>p.16 (Financial Review - Cash Flow)</t>
  </si>
  <si>
    <t>stock_holding_reduction</t>
  </si>
  <si>
    <t>working_capital_improvement</t>
  </si>
  <si>
    <t>cash_flow_impact</t>
  </si>
  <si>
    <t>Cross-checks with Balance Sheet</t>
  </si>
  <si>
    <t>Links inventory metrics ('stock holding days') to financial health (£180m cash flow). Proof of Value (5Vs) of tighter inventory management. Addresses RQ2.</t>
  </si>
  <si>
    <t>EXT_WAI_006</t>
  </si>
  <si>
    <t>John Lewis Partnership (Waitrose)</t>
  </si>
  <si>
    <t>Ethics &amp; Sustainability Report 2024/25</t>
  </si>
  <si>
    <t>https://www.johnlewispartnership.co.uk/~/media/Files/J/john-lewis/corp/documents/jlp-es-report-2024-25.pdf</t>
  </si>
  <si>
    <t>In collaboration with Land App, Waitrose is supporting 2,500 of its own-brand UK farms to map current habitats. We're also seeking to develop land management plans for these farms</t>
  </si>
  <si>
    <t>p.14 (Nature &amp; Biodiversity - Mapping habitat)</t>
  </si>
  <si>
    <t>digital_mapping_2500_farms</t>
  </si>
  <si>
    <t>Land_App_collaboration</t>
  </si>
  <si>
    <t>habitat_data_collection</t>
  </si>
  <si>
    <t>Compare Morrisons Map of Ag (EXT_MOR_008), Asda Land App (EXT_ASD_008)</t>
  </si>
  <si>
    <t>Explicit use of digital tool ('Land App') to capture data from 2,500 suppliers (Volume/Variety). Demonstrates Source phase data integration. Compare with Morrisons Map of Ag and Asda Land App trial. Addresses RQ1.</t>
  </si>
  <si>
    <t>EXT_WAI_007</t>
  </si>
  <si>
    <t>In collaboration with our own-brand pasta supplier, Daybreak Foods... Waitrose has begun diverting up to 130 tonnes of surplus pasta a year to FareShare.</t>
  </si>
  <si>
    <t>p.13 (Circularity &amp; Waste - Food waste)</t>
  </si>
  <si>
    <t>surplus_diversion_130t</t>
  </si>
  <si>
    <t>supplier_collaboration_Daybreak</t>
  </si>
  <si>
    <t>waste_redistribution_FareShare</t>
  </si>
  <si>
    <t>Cross-checks with Community section</t>
  </si>
  <si>
    <t>Quantifies specific Return phase intervention (130t diverted). Shows how supply chain collaboration (Daybreak) reduces physical inventory waste. Addresses RQ2.</t>
  </si>
  <si>
    <t>EXT_WAI_008</t>
  </si>
  <si>
    <t>John Lewis Partnership</t>
  </si>
  <si>
    <t>We reduced transport carbon emissions by 50% compared to 2018... put an additional 43 biomethane trucks on the road... and operated 65 trucks that self-generate electricity</t>
  </si>
  <si>
    <t>p.15 (Climate Action - Fleet decarbonisation)</t>
  </si>
  <si>
    <t>transport_emissions_reduction_50pct</t>
  </si>
  <si>
    <t>biomethane_trucks_43</t>
  </si>
  <si>
    <t>fleet_telemetry_data</t>
  </si>
  <si>
    <t>Cross-checks with Fleet data</t>
  </si>
  <si>
    <t>Strong metric (50% reduction) driven by fleet innovation. Requires precise logistics data to manage mixed fleets (biomethane/electric) efficiently. Primary benefit is transport cost reduction. Addresses RQ2.</t>
  </si>
  <si>
    <t>Transport carbon emissions - sustainability, not inventory optimisation</t>
  </si>
  <si>
    <t>EXT_WAI_009</t>
  </si>
  <si>
    <t>Waitrose became the first UK grocery retailer to partner with Tony's Open Chain, sourcing cocoa for nine of our own-brand chocolate bars... buying fully traceable beans</t>
  </si>
  <si>
    <t>p.11 (Raw Materials - Cocoa first)</t>
  </si>
  <si>
    <t>fully_traceable_beans</t>
  </si>
  <si>
    <t>Tonys_Open_Chain_partnership</t>
  </si>
  <si>
    <t>ethical_sourcing_model</t>
  </si>
  <si>
    <t>'Traceability' is core data attribute. Partnership ensures veracity of 'cocoa source' data, addressing ethical risks in supply chain. First UK retailer claim. Addresses RQ1.</t>
  </si>
  <si>
    <t>Cocoa traceability/ethical sourcing - sustainability, not inventory</t>
  </si>
  <si>
    <t>EXT_WAI_010</t>
  </si>
  <si>
    <t>30% reduction in our scope 3 Energy and Industrial emissions since 2020/21 baseline... We're working hard to embed carbon-literate decision-making across our business</t>
  </si>
  <si>
    <t>p.15 (Climate Action - Emissions reductions)</t>
  </si>
  <si>
    <t>scope_3_reduction_30pct</t>
  </si>
  <si>
    <t>carbon_literate_decision_making</t>
  </si>
  <si>
    <t>2020_21_baseline</t>
  </si>
  <si>
    <t>Talent_Development</t>
  </si>
  <si>
    <t>Cross-checks with Carbon-cutting tools narrative</t>
  </si>
  <si>
    <t>Focus on 'carbon-literate decision-making' as organizational capability. Building analytical skills across business is key enabler. Addresses RQ3.</t>
  </si>
  <si>
    <t>Scope 3 reduction/carbon literacy - sustainability, not inventory</t>
  </si>
  <si>
    <t>EXT_WRP_001</t>
  </si>
  <si>
    <t>NGO</t>
  </si>
  <si>
    <t>WRAP</t>
  </si>
  <si>
    <t>UK Food Waste &amp; Food Surplus – Key Facts</t>
  </si>
  <si>
    <t>https://www.wrap.ngo/sites/default/files/2025-06/WRAP-UK-Food-Waste-and-Food-Surplus-Key-Facts-July-2025-v5.pdf</t>
  </si>
  <si>
    <t>WRAP's most recent estimate of food waste in the UK is 10.2 million tonnes... household food waste makes up 58% of the total, on-farm 16%, manufacturing 13%, hospitality and food service 11%, and retail 2%.</t>
  </si>
  <si>
    <t>p.3 (Overview of food waste)</t>
  </si>
  <si>
    <t>total_UK_food_waste_10.2Mt</t>
  </si>
  <si>
    <t>household_waste_share_58pct</t>
  </si>
  <si>
    <t>retail_waste_share_2pct</t>
  </si>
  <si>
    <t>Cross-checks with retailer waste figures</t>
  </si>
  <si>
    <t>CRITICAL: Establishes macro-baseline for UK food waste (10.2Mt). Retail is only 2% by weight but acts as gatekeeper affecting 13% Mfg and 16% On-farm. Essential context for dissertation. Addresses RQ2.</t>
  </si>
  <si>
    <t>EXT_WRP_002</t>
  </si>
  <si>
    <t>Retail food waste per capita in the UK amounted to around 3.5 kg in 2021, 1.2 kg per person lower than in 2007. This represents a 26% reduction compared to 2007 (the UKFDP baseline year).</t>
  </si>
  <si>
    <t>p.12 (Trends in food waste - Retail)</t>
  </si>
  <si>
    <t>retail_waste_reduction_26pct</t>
  </si>
  <si>
    <t>per_capita_waste_3.5kg</t>
  </si>
  <si>
    <t>baseline_comparison_2007</t>
  </si>
  <si>
    <t>Cross-checks with Tesco/Sainsbury's reduction claims</t>
  </si>
  <si>
    <t>Validates effectiveness of Retail interventions (26% reduction since 2007). Sector outperforming Manufacturing (-10%) and Household (-22%). Key benchmark. Addresses RQ2.</t>
  </si>
  <si>
    <t>EXT_WRP_003</t>
  </si>
  <si>
    <t>Between 2022 and 2023, there was a 15% increase in surplus redistributed... approximately an additional 25,000 tonnes, corresponding to food worth £100 million</t>
  </si>
  <si>
    <t>p.14 (Useful Facts on Redistribution)</t>
  </si>
  <si>
    <t>redistribution_increase_15pct</t>
  </si>
  <si>
    <t>surplus_value_£100m</t>
  </si>
  <si>
    <t>year_on_year_growth</t>
  </si>
  <si>
    <t>Cross-checks with Ocado/Felix Project, Morrisons Too Good To Go</t>
  </si>
  <si>
    <t>15% jump in redistribution proves better data visibility (surplus identification) is converting potential waste into consumable food. Cross-validates retailer redistribution evidence. Addresses RQ2.</t>
  </si>
  <si>
    <t>EXT_WRP_004</t>
  </si>
  <si>
    <t>The wasted food shown in Figure 2 (i.e. post-farm gate food waste) had a value of over £22.3 billion a year... Retail: £0.74 billion.</t>
  </si>
  <si>
    <t>p.5 (Value of food waste)</t>
  </si>
  <si>
    <t>wasted_food_value_£22.3bn</t>
  </si>
  <si>
    <t>retail_waste_cost_£0.74bn</t>
  </si>
  <si>
    <t>financial_impact_metric</t>
  </si>
  <si>
    <t>Quantifies Value (5Vs) of the problem. £22.3bn lost annually, with Retail losing £0.74bn directly. Financial loss is primary driver for BD/AI investment. Addresses RQ2.</t>
  </si>
  <si>
    <t>EXT_WRP_005</t>
  </si>
  <si>
    <t>The current evidence is not strong enough to serve as a benchmark against which progress can be assessed and it is for this reason that primary production is not within the scope of the UKFDP food waste target.</t>
  </si>
  <si>
    <t>p.21 (Estimates of food waste on farms)</t>
  </si>
  <si>
    <t>primary_production_data_gap</t>
  </si>
  <si>
    <t>benchmark_evidence_deficit</t>
  </si>
  <si>
    <t>target_scope_exclusion</t>
  </si>
  <si>
    <t>Cross-checks with Morrisons Map of Ag data struggles</t>
  </si>
  <si>
    <t>CRITICAL: Explicit admission of 'Veracity Gap' in upstream supply chain. Lack of robust data prevents Primary Production from national targets. Highlights critical blind spot for BD. Addresses RQ3.</t>
  </si>
  <si>
    <t>EXT_WRP_006</t>
  </si>
  <si>
    <t>Annual Report and Consolidated Accounts 2024/25</t>
  </si>
  <si>
    <t>https://www.wrap.ngo/sites/default/files/2025-10/WRAP-Annual-Report-Consolidated-Accounts-2024-25.pdf</t>
  </si>
  <si>
    <t>UK food waste reduction: WRAP's work contributed to an 18.3% annual reduction in food waste in the UK from 2007 to 2021.</t>
  </si>
  <si>
    <t>p.6 (Food Systems Transformation)</t>
  </si>
  <si>
    <t>food_waste_reduction_18.3pct</t>
  </si>
  <si>
    <t>longitudinal_reduction_2007-2021</t>
  </si>
  <si>
    <t>national_waste_metrics</t>
  </si>
  <si>
    <t>Cross-checks with Food Waste Roadmap Update</t>
  </si>
  <si>
    <t>Long-term trend data (2007-2021) establishes baseline effectiveness of UK voluntary agreements. 18.3% reduction is key benchmark for industry progress. Addresses RQ2.</t>
  </si>
  <si>
    <t>EXT_WRP_007</t>
  </si>
  <si>
    <t>UK Plastics Pact: 99.8% of problematic single-use plastics were eliminated, removing 33 billion items. 96% of rigid plastic packaging is now recyclable.</t>
  </si>
  <si>
    <t>p.6 (Plastics Transformation)</t>
  </si>
  <si>
    <t>single_use_plastics_elimination_99.8pct</t>
  </si>
  <si>
    <t>recyclable_rigid_packaging_96pct</t>
  </si>
  <si>
    <t>items_removed_33bn</t>
  </si>
  <si>
    <t>Cross-checks with GS1/Ocado packaging narratives</t>
  </si>
  <si>
    <t>Massive success metrics for Make/Use phases. 99.8% elimination proves coordinated industry pacts can alter physical supply chains. Voluntary agreement model. Addresses RQ1.</t>
  </si>
  <si>
    <t>UK Plastics Pact - packaging sustainability, not inventory</t>
  </si>
  <si>
    <t>EXT_WRP_008</t>
  </si>
  <si>
    <t>WRAP's UK Textiles Pact... Environmental impact: 8% reduction in carbon and 9% reduction in water per tonne of textiles.</t>
  </si>
  <si>
    <t>p.6 (Textiles Circularity)</t>
  </si>
  <si>
    <t>textiles_carbon_reduction_8pct</t>
  </si>
  <si>
    <t>textiles_water_reduction_9pct</t>
  </si>
  <si>
    <t>signatories_impact</t>
  </si>
  <si>
    <t>Quantifies environmental efficiency in textiles supply chain (Source phase). Reductions in carbon/water per tonne validate Textiles 2030 voluntary agreement model. Addresses RQ2.</t>
  </si>
  <si>
    <t>UK Textiles Pact - textile sustainability, not food retail inventory</t>
  </si>
  <si>
    <t>EXT_WRP_009</t>
  </si>
  <si>
    <t>Simpler Recycling: WRAP's modelling and support influenced Defra's adoption of modulated fees under Extended Producer Responsibility, projected to avoid 19.6 million tonnes of CO2e by 2049.</t>
  </si>
  <si>
    <t>p.7 (Circular Economy Systems)</t>
  </si>
  <si>
    <t>EPR_modulated_fees_adoption</t>
  </si>
  <si>
    <t>CO2e_avoidance_projection_19.6m</t>
  </si>
  <si>
    <t>policy_influence_Defra</t>
  </si>
  <si>
    <t>TH_06</t>
  </si>
  <si>
    <t>Regulatory_Environment</t>
  </si>
  <si>
    <t>Cross-checks with BRC Manifesto regulatory costs</t>
  </si>
  <si>
    <t>Demonstrates WRAP's role in shaping Environmental context (TOE). Shift to Simpler Recycling and EPR is massive regulatory driver for data adoption (tracking packaging). Addresses RQ3.</t>
  </si>
  <si>
    <t>Simpler Recycling policy - regulatory/sustainability, not inventory</t>
  </si>
  <si>
    <t>EXT_WRP_010</t>
  </si>
  <si>
    <t>0.9m tonnes of CO2e were avoided through WRAP's UK programmes. £3.38 of benefit was delivered for every £1 spent in the UK.</t>
  </si>
  <si>
    <t>p.7 (Performance Measures and Impact)</t>
  </si>
  <si>
    <t>CO2e_avoided_0.9m_tonnes</t>
  </si>
  <si>
    <t>ROI_£3.38_per_£1</t>
  </si>
  <si>
    <t>financial_efficiency_metric</t>
  </si>
  <si>
    <t>Aggregated ROI metric (£3.38 benefit per £1). Provides macro-economic Value justification for circular economy initiatives beyond environmental compliance. Addresses RQ2.</t>
  </si>
  <si>
    <t>EXT_BRC_001</t>
  </si>
  <si>
    <t>Trade_Association</t>
  </si>
  <si>
    <t>British Retail Consortium (BRC)</t>
  </si>
  <si>
    <t>United Kingdom BRC Retail Sales Monitor YoY</t>
  </si>
  <si>
    <t>https://tradingeconomics.com/united-kingdom/brc-retail-sales-monitor-yoy</t>
  </si>
  <si>
    <t>UK retail sales rose 1.2% year-on-year on a like-for-like basis in November 2025, the slowest pace in six months as consumers cautiously awaited finance minister Rachel Reeves' budget</t>
  </si>
  <si>
    <t>p.2 (News Stream)</t>
  </si>
  <si>
    <t>sales_growth_1.2pct_Nov2025</t>
  </si>
  <si>
    <t>slowest_pace_6_months</t>
  </si>
  <si>
    <t>consumer_caution_budget</t>
  </si>
  <si>
    <t>Cross-checks with PwC Store Openings context</t>
  </si>
  <si>
    <t>Quantifies sluggish market environment (1.2% growth). Attributes to Environmental factors (Budget/Government policy), directly impacting Plan phase for retailers. Addresses RQ3.</t>
  </si>
  <si>
    <t>EXT_BRC_002</t>
  </si>
  <si>
    <t>Food sales growth eased to 3.0% from 3.5% in October... Non-food sales inched up 0.1% for a second month, a sharp improvement from the 7.9% decline seen a year earlier.</t>
  </si>
  <si>
    <t>p.13 (News Stream)</t>
  </si>
  <si>
    <t>food_sales_growth_3.0pct</t>
  </si>
  <si>
    <t>non_food_growth_0.1pct</t>
  </si>
  <si>
    <t>recovery_from_7.9pct_decline</t>
  </si>
  <si>
    <t>Contrasts with Ocado's pure-play growth</t>
  </si>
  <si>
    <t>Highlights divergence between Food (resilient at 3%) and Non-Food (stagnant at 0.1%). Crucial context for why retailers prioritizing food supply chain resilience. Addresses RQ3.</t>
  </si>
  <si>
    <t>EXT_BRC_003</t>
  </si>
  <si>
    <t>Not unexpectedly, online dominated, with the proportion of non-food bought online reaching its highest level since 2022.</t>
  </si>
  <si>
    <t>online_non_food_share_peak</t>
  </si>
  <si>
    <t>highest_level_since_2022</t>
  </si>
  <si>
    <t>channel_shift_online</t>
  </si>
  <si>
    <t>Cross-checks with IGD Online Share (28%)</t>
  </si>
  <si>
    <t>Confirms structural shift to online for non-food. Volume of data in online channels increasing while physical non-food faces headwinds. Addresses RQ1.</t>
  </si>
  <si>
    <t>EXT_BRC_004</t>
  </si>
  <si>
    <t>Pre-budget jitters among shoppers meant the month of Black Friday did not deliver as strongly as retailers had hoped or the economy needed.</t>
  </si>
  <si>
    <t>Black_Friday_underperformance</t>
  </si>
  <si>
    <t>pre_budget_jitters</t>
  </si>
  <si>
    <t>consumer_confidence_impact</t>
  </si>
  <si>
    <t>Consistent with Cost of Living narrative</t>
  </si>
  <si>
    <t>Identifies event-driven volatility (Black Friday flop). BD analytics (Sentiment Analysis) required to predict such 'jitters' better than traditional seasonal models. Addresses RQ1.</t>
  </si>
  <si>
    <t>EXT_BRC_005</t>
  </si>
  <si>
    <t>In the long-term, the United Kingdom BRC Retail Sales Monitor YoY is projected to trend around 1.50 percent in 2026 and 2.00 percent in 2027</t>
  </si>
  <si>
    <t>p.10 (Summary)</t>
  </si>
  <si>
    <t>growth_forecast_1.5pct_2026</t>
  </si>
  <si>
    <t>growth_forecast_2.0pct_2027</t>
  </si>
  <si>
    <t>long_term_trend</t>
  </si>
  <si>
    <t>Medium</t>
  </si>
  <si>
    <t>Provides macroeconomic baseline for future-looking chapter. Low projected growth (1.5-2.0%) reinforces need for efficiency (Cost Reduction) via technology. Addresses RQ3.</t>
  </si>
  <si>
    <t>EXT_MAR_001</t>
  </si>
  <si>
    <t>Marsh McLennan</t>
  </si>
  <si>
    <t>Leading through disruption: Achieving retail resilience</t>
  </si>
  <si>
    <t>https://assets-usa.mkt.dynamics.com/f8e4c16b-724b-4dd9-ab8b-d4814f7b9f23/digitalassets/docs/b9fc9e77-db4d-f011-8779-7c1e5258e74b</t>
  </si>
  <si>
    <t>66% of retail leaders are overinvesting in managing critical market challenges... We call this the 'overinvestment paradox'. Retailers are spending more to keep up, but many admit they aren't sure if these investments are truly delivering value.</t>
  </si>
  <si>
    <t>p.2 (Foreword)</t>
  </si>
  <si>
    <t>overinvestment_paradox_66pct</t>
  </si>
  <si>
    <t>ROI_uncertainty</t>
  </si>
  <si>
    <t>reactive_spending</t>
  </si>
  <si>
    <t>ROI_Uncertainty</t>
  </si>
  <si>
    <t>Consistent with McKinsey GenAI Divide findings</t>
  </si>
  <si>
    <t>CRITICAL: Identifies 'Overinvestment Paradox' - 66% spending reactively without clear ROI. Key counter-narrative for RQ3. Questions efficiency of current tech spend. Addresses RQ3.</t>
  </si>
  <si>
    <t>EXT_MAR_002</t>
  </si>
  <si>
    <t>Only 15% of retail leaders say their organization has successfully integrated its supply chain data across all functions... 40% admit that data silos are a significant barrier to operational efficiency.</t>
  </si>
  <si>
    <t>p.14 (Supply chain resilience)</t>
  </si>
  <si>
    <t>supply_chain_data_integration_15pct</t>
  </si>
  <si>
    <t>data_silos_barrier_40pct</t>
  </si>
  <si>
    <t>operational_inefficiency</t>
  </si>
  <si>
    <t>Integration_Challenges</t>
  </si>
  <si>
    <t>Cross-checks with Accenture Data Complexity barrier</t>
  </si>
  <si>
    <t>CRITICAL: Hard evidence of Integration Gap in UK retail. Only 15% have full visibility, 40% blocked by silos. Explains why BD projects stall. Addresses RQ3.</t>
  </si>
  <si>
    <t>EXT_MAR_003</t>
  </si>
  <si>
    <t>Cyber risk has moved from the IT department to the boardroom, with 52% of retailers citing cyber attacks as a top 5 risk to their business growth.</t>
  </si>
  <si>
    <t>p.22 (Managing risk in a digital world)</t>
  </si>
  <si>
    <t>cyber_risk_top_5_52pct</t>
  </si>
  <si>
    <t>boardroom_priority</t>
  </si>
  <si>
    <t>business_growth_threat</t>
  </si>
  <si>
    <t>Cross-checks with BRC crime/risk narrative</t>
  </si>
  <si>
    <t>Elevates Cyber Risk to strategic barrier (52%). As supply chains digitize (BD), attack surface grows. Security becomes 'Gatekeeper' condition for adoption. Addresses RQ3.</t>
  </si>
  <si>
    <t>EXT_MAR_004</t>
  </si>
  <si>
    <t>Our research shows that organizations with highly resilient supply chains (those investing in visibility and redundancy) report 12% higher profit margins than their less resilient peers.</t>
  </si>
  <si>
    <t>p.15 (The resilience dividend)</t>
  </si>
  <si>
    <t>resilience_profit_margin_12pct</t>
  </si>
  <si>
    <t>visibility_redundancy_investment</t>
  </si>
  <si>
    <t>financial_performance_link</t>
  </si>
  <si>
    <t>Cross-checks with Capgemini 13-16% cost reduction</t>
  </si>
  <si>
    <t>Quantifies Value of resilience/visibility (12% higher margins). Strong business case linking Technology (Visibility tools) to Financial Performance. Addresses RQ2.</t>
  </si>
  <si>
    <t>EXT_MAR_005</t>
  </si>
  <si>
    <t>The skills gap remains a critical issue, with 48% of leaders stating they lack the internal talent to effectively manage new AI and data analytics technologies.</t>
  </si>
  <si>
    <t>p.26 (People and culture)</t>
  </si>
  <si>
    <t>skills_gap_AI_48pct</t>
  </si>
  <si>
    <t>internal_talent_shortage</t>
  </si>
  <si>
    <t>analytics_management_deficit</t>
  </si>
  <si>
    <t>Skills_Gap</t>
  </si>
  <si>
    <t>Consistent with BRC Skills Levy call</t>
  </si>
  <si>
    <t>Quantifies human barrier: 48% lack skills for AI/Analytics. Directly supports Skills Gap theme within TOE Organizational context for UK market. Addresses RQ3.</t>
  </si>
  <si>
    <t>EXT_GS1_001</t>
  </si>
  <si>
    <t>GS1 Global</t>
  </si>
  <si>
    <t>The core relevance of trusted identification and data in an AI-driven world</t>
  </si>
  <si>
    <t>https://gs1go2.azureedge.net/cdn/ff/h_7JXdAUCkBs5jzajETMUVxXR_fGX__d_qddtyOYV7M/1764337519/public/2025-11/gs1_trusted_identification_ai_world.pdf</t>
  </si>
  <si>
    <t>Global</t>
  </si>
  <si>
    <t>T3_Transferable</t>
  </si>
  <si>
    <t>No</t>
  </si>
  <si>
    <t>Conceptual_Only</t>
  </si>
  <si>
    <t>Artificial intelligence is only as good as the data it consumes... Without common identifiers... AI risks amplifying noise or misinforming critical decisions instead of unlocking value.</t>
  </si>
  <si>
    <t>p.2 (AI is reshaping everything)</t>
  </si>
  <si>
    <t>AI_data_quality_dependency</t>
  </si>
  <si>
    <t>risk_of_amplifying_noise</t>
  </si>
  <si>
    <t>common_identifiers_necessity</t>
  </si>
  <si>
    <t>Consistent with McKinsey 1% margin of error risk</t>
  </si>
  <si>
    <t>CRITICAL conceptual link: AI needs 'trusted identification' (Veracity) to avoid 'amplifying noise'. Justifies need for foundational data standards (GS1) before scaling AI. Addresses RQ3.</t>
  </si>
  <si>
    <t>EXT_GS1_002</t>
  </si>
  <si>
    <t>GS1 UK</t>
  </si>
  <si>
    <t>The importance of traceability in an increasingly transparent world: Contamination and recall</t>
  </si>
  <si>
    <t>https://www.gs1uk.org/sites/default/files/gs1_uk_transparency_contamination-and-recall-report.pdf</t>
  </si>
  <si>
    <t>58% of shoppers do not believe brands and retailers are transparent about food contamination... 37% of consumers would buy a specific product less often after a publicised contamination episode.</t>
  </si>
  <si>
    <t>p.2 (Some of our key findings)</t>
  </si>
  <si>
    <t>transparency_mistrust_58pct</t>
  </si>
  <si>
    <t>purchase_frequency_decline_37pct</t>
  </si>
  <si>
    <t>contamination_trust_gap</t>
  </si>
  <si>
    <t>Quantifies 'Consumer Trust' deficit in UK. 58% mistrust regarding contamination is major driver for implementing transparent traceability systems (BD). Addresses RQ3.</t>
  </si>
  <si>
    <t>EXT_GS1_003</t>
  </si>
  <si>
    <t>52% of 18-24 year olds would change their shopping habits after a recall event... Brands would be four times more likely to be impacted than retailers after contamination and recall.</t>
  </si>
  <si>
    <t>recall_impact_youth_52pct</t>
  </si>
  <si>
    <t>brand_vs_retailer_impact_4x</t>
  </si>
  <si>
    <t>reputational_damage_asymmetry</t>
  </si>
  <si>
    <t>Highlights disproportionate risk to Brands vs Retailers (4x). Asymmetry explains why brands might be slower/more cautious in sharing data openly. Addresses RQ3.</t>
  </si>
  <si>
    <t>EXT_GS1_004</t>
  </si>
  <si>
    <t>UK allergy-related food recalls jump 20% in a year to 5-year high... Economics of traceability for mitigation of food recall costs.</t>
  </si>
  <si>
    <t>p.15 (References)</t>
  </si>
  <si>
    <t>recall_increase_20pct</t>
  </si>
  <si>
    <t>allergy_related_recalls</t>
  </si>
  <si>
    <t>traceability_economics</t>
  </si>
  <si>
    <t>Cross-checks with FSA recall data</t>
  </si>
  <si>
    <t>Quantifies growing operational risk: 20% jump in recalls. Increase in Return phase incidents strengthens business case for real-time traceability data. Addresses RQ2.</t>
  </si>
  <si>
    <t>EXT_GS1_005</t>
  </si>
  <si>
    <t>Industry should partner with GS1... to proactively engage with AI companies, raising awareness of the importance and power of GS1 standards, data models and foundational registries.</t>
  </si>
  <si>
    <t>p.5 (Call to action)</t>
  </si>
  <si>
    <t>AI_standards_partnership</t>
  </si>
  <si>
    <t>foundational_registries</t>
  </si>
  <si>
    <t>proactive_engagement</t>
  </si>
  <si>
    <t>Strategic call to action: 'Foundational registries' (GS1 Global Registry) are necessary infrastructure for AI. Without them, AI lacks 'common language' across supply chains. Addresses RQ1.</t>
  </si>
  <si>
    <t>EXT_WRR_001</t>
  </si>
  <si>
    <t>WRAP / IGD</t>
  </si>
  <si>
    <t>The Food Waste Reduction Roadmap Progress Update 2024</t>
  </si>
  <si>
    <t>https://www.wrap.ngo/sites/default/files/2024-12/Food-Waste-Reduction-Roadmap-Progress-Update-report-2024-v3.pdf</t>
  </si>
  <si>
    <t>The number of large businesses setting a food waste reduction target has increased to 25%... however, it is still a long way from the 2025 milestone of 80%.</t>
  </si>
  <si>
    <t>p.3 (Key Messages)</t>
  </si>
  <si>
    <t>target_setting_25pct</t>
  </si>
  <si>
    <t>milestone_gap_80pct</t>
  </si>
  <si>
    <t>adoption_rate_low</t>
  </si>
  <si>
    <t>Contrasts with Tesco/Sainsbury's advanced targets</t>
  </si>
  <si>
    <t>CRITICAL: Quantifies 'Adoption Gap' for wider industry. While leaders (Tesco etc.) advanced, industry average for target setting only 25%, missing 80% milestone. Addresses RQ3.</t>
  </si>
  <si>
    <t>EXT_WRR_002</t>
  </si>
  <si>
    <t>Based on 2023 data, 30% of large businesses are measuring and reporting to WRAP... The number of large businesses implementing the Roadmap remains stable [vs 2022].</t>
  </si>
  <si>
    <t>p.8 (Key highlights: Measure)</t>
  </si>
  <si>
    <t>measurement_adoption_30pct</t>
  </si>
  <si>
    <t>reporting_stagnation</t>
  </si>
  <si>
    <t>data_transparency_gap</t>
  </si>
  <si>
    <t>Cross-checks with GS1 38% data accuracy finding</t>
  </si>
  <si>
    <t>CRITICAL barrier: Stagnation in measurement. Only 30% of large firms capturing data, limiting BD potential for sector. Unchanged from 2022. Addresses RQ3.</t>
  </si>
  <si>
    <t>EXT_WRR_003</t>
  </si>
  <si>
    <t>Waste source data is reviewed by factory managers on a weekly basis where actions are made to address hotspot areas.</t>
  </si>
  <si>
    <t>p.10 (Actions businesses took)</t>
  </si>
  <si>
    <t>waste_source_data_review</t>
  </si>
  <si>
    <t>hotspot_analysis</t>
  </si>
  <si>
    <t>weekly_monitoring</t>
  </si>
  <si>
    <t>Practical example of Velocity and Value. Weekly review of waste data allows rapid operational interventions in factories (Make phase). Addresses RQ2.</t>
  </si>
  <si>
    <t>EXT_WRR_004</t>
  </si>
  <si>
    <t>68% of FWRR implementors reported taking action to collaborate with supply chain partners... This equates to 19% of all UK large food and drink businesses.</t>
  </si>
  <si>
    <t>p.9 (Key highlights: Act)</t>
  </si>
  <si>
    <t>supply_chain_collaboration_19pct</t>
  </si>
  <si>
    <t>FWRR_implementor_rate</t>
  </si>
  <si>
    <t>upstream_engagement</t>
  </si>
  <si>
    <t>Cross-checks with Scope 3 initiatives (M&amp;S/Morrisons)</t>
  </si>
  <si>
    <t>Low industry-wide collaboration rate (19%) highlights difficulty of extending data visibility into Source phase, despite being key enabler. Addresses RQ3.</t>
  </si>
  <si>
    <t>EXT_WRR_005</t>
  </si>
  <si>
    <t>The introduction of mandatory food waste reporting in England is currently being reconsidered. The voluntary approach is still vital to enable and support the food industry.</t>
  </si>
  <si>
    <t>p.11 (Forward Look)</t>
  </si>
  <si>
    <t>mandatory_reporting_reconsideration</t>
  </si>
  <si>
    <t>regulatory_uncertainty</t>
  </si>
  <si>
    <t>voluntary_approach_reliance</t>
  </si>
  <si>
    <t>Explicitly mentions Regulatory uncertainty (TOE Environment). Lack of mandatory reporting mandates may contribute to stagnation in adoption rates. Addresses RQ3.</t>
  </si>
  <si>
    <t>EXT_COR_001</t>
  </si>
  <si>
    <t>Coresight Research</t>
  </si>
  <si>
    <t>AI for Merchandising: Applications, Implementation and Benefits Abound</t>
  </si>
  <si>
    <t>https://www.board.com/thank-you-resource?pageId=22611&amp;dl=1</t>
  </si>
  <si>
    <t>US</t>
  </si>
  <si>
    <t>Retailers lose 4.5% of their gross sales annually due to in-store inefficiencies... Inaccurate demand forecasting can lead to out-of-stock or unsold inventory.</t>
  </si>
  <si>
    <t>p.5 (Market Scale and Opportunity)</t>
  </si>
  <si>
    <t>sales_loss_4.5pct_inefficiencies</t>
  </si>
  <si>
    <t>in_store_inefficiencies</t>
  </si>
  <si>
    <t>demand_forecasting_error</t>
  </si>
  <si>
    <t>Consistent with Accenture margin analysis</t>
  </si>
  <si>
    <t>Quantifies 'Cost' of poor data: 4.5% gross sales loss. Provides baseline problem statement for dissertation (why BD is needed). Addresses RQ2.</t>
  </si>
  <si>
    <t>EXT_COR_002</t>
  </si>
  <si>
    <t>Time series-based machine learning (ML) models using historical data offer about 50% accuracy... incorporating external data... can boost the accuracy of these forecasts to over 90%.</t>
  </si>
  <si>
    <t>p.7 (Demand Forecasting)</t>
  </si>
  <si>
    <t>forecast_accuracy_90pct_external_data</t>
  </si>
  <si>
    <t>ML_accuracy_uplift</t>
  </si>
  <si>
    <t>external_data_integration</t>
  </si>
  <si>
    <t>Cross-checks with Deloitte 50% accuracy claim</t>
  </si>
  <si>
    <t>CRITICAL: Direct evidence of Value of BD Variety (external data). Moving from 50% to 90% accuracy is core argument for AI-driven forecasting. Addresses RQ1.</t>
  </si>
  <si>
    <t>EXT_COR_003</t>
  </si>
  <si>
    <t>58% of retailers are already investing in automated inventory tracking systems... 63% plan to increase their investment in these technologies in the near future.</t>
  </si>
  <si>
    <t>p.13 (Inventory Replenishment)</t>
  </si>
  <si>
    <t>inventory_tracking_investment_58pct</t>
  </si>
  <si>
    <t>investment_intent_63pct</t>
  </si>
  <si>
    <t>automated_tracking_adoption</t>
  </si>
  <si>
    <t>Consistent with BRC investment calls</t>
  </si>
  <si>
    <t>Confirms high adoption rates (58%) for IoT/AI inventory tracking. Validates 'New-generation supply chain' trends found in Capgemini reports. Addresses RQ1.</t>
  </si>
  <si>
    <t>EXT_ACC_001</t>
  </si>
  <si>
    <t>Accenture</t>
  </si>
  <si>
    <t>Pulse of Change: 2024 Index</t>
  </si>
  <si>
    <t>https://www.accenture.com/content/dam/accenture/final/accenture-com/document-2/Accenture-Pulse-of-Change-2024-Index-Executive-Summary.pdf</t>
  </si>
  <si>
    <t>Technology change increased the most, catapulted by advances in generative AI. It was the top cause of change in 2023... 76% saw generative AI as more of an opportunity than a threat</t>
  </si>
  <si>
    <t>p.6 (Technology was the top cause)</t>
  </si>
  <si>
    <t>GenAI_top_change_driver</t>
  </si>
  <si>
    <t>opportunity_vs_threat_76pct</t>
  </si>
  <si>
    <t>technology_disruption_acceleration</t>
  </si>
  <si>
    <t>Consistent with McKinsey GenAI Divide</t>
  </si>
  <si>
    <t>Identifies GenAI as primary 'Technological' driver of change (TOE). High optimism (76%) contrasts with low readiness, illustrating 'Hype Cycle'. Addresses RQ1.</t>
  </si>
  <si>
    <t>EXT_ACC_002</t>
  </si>
  <si>
    <t>More than half (52%) of them don't feel fully prepared to respond to the change they will face in the 2024 business environment.</t>
  </si>
  <si>
    <t>p.5 (Executive preparedness)</t>
  </si>
  <si>
    <t>preparedness_gap_52pct</t>
  </si>
  <si>
    <t>response_capability_deficit</t>
  </si>
  <si>
    <t>business_environment_volatility</t>
  </si>
  <si>
    <t>Quantifies 'Organizational' barrier: 52% of leaders feel unprepared. This 'Readiness Gap' is key explanation for slow rollout of complex BD systems. Addresses RQ3.</t>
  </si>
  <si>
    <t>EXT_ACC_003</t>
  </si>
  <si>
    <t>Only 27% claim their organizations are ready to scale up generative AI, and 44% say it will take more than six months to do so</t>
  </si>
  <si>
    <t>p.7 (Scaling Generative AI)</t>
  </si>
  <si>
    <t>GenAI_scaling_readiness_27pct</t>
  </si>
  <si>
    <t>scaling_timeline_6_months</t>
  </si>
  <si>
    <t>adoption_latency</t>
  </si>
  <si>
    <t>Cross-checks with 6 month lag in Deloitte</t>
  </si>
  <si>
    <t>CRITICAL metric for RQ3 (Scaling): Only 27% ready to scale. Validates 'Pilot Purgatory' theme where firms struggle to move from experiment to enterprise value. Addresses RQ3.</t>
  </si>
  <si>
    <t>EXT_ACC_004</t>
  </si>
  <si>
    <t>72% of C-suite leaders say they are approaching investments with caution because of societal concerns about the responsible use of AI.</t>
  </si>
  <si>
    <t>p.8 (Responsible AI)</t>
  </si>
  <si>
    <t>responsible_AI_caution_72pct</t>
  </si>
  <si>
    <t>societal_concerns_impact</t>
  </si>
  <si>
    <t>investment_caution</t>
  </si>
  <si>
    <t>Compare Tesco AI Governance Framework (EXT_TES_008)</t>
  </si>
  <si>
    <t>Highlights 'Environmental' pressure (Societal concerns) acting as brake on investment. 72% caution rate explains 'Responsible AI' governance theme. Addresses RQ3.</t>
  </si>
  <si>
    <t>EXT_ACC_005</t>
  </si>
  <si>
    <t>42% of C-suite leaders say skills shortage is one of the top 3 challenges... It is particularly a major concern in the healthcare industry.</t>
  </si>
  <si>
    <t>p.10 (Talent challenges)</t>
  </si>
  <si>
    <t>skills_shortage_barrier_42pct</t>
  </si>
  <si>
    <t>top_3_challenge_ranking</t>
  </si>
  <si>
    <t>talent_gap</t>
  </si>
  <si>
    <t>Cross-checks with BRC Skills Levy call, Marsh McLennan 48%</t>
  </si>
  <si>
    <t>Quantifies 'Skills Gap' (42%). Directly links to need for 'Talent' investment found in BRC Manifesto. Universal barrier across sectors. Addresses RQ3.</t>
  </si>
  <si>
    <t>EXT_ACC_006</t>
  </si>
  <si>
    <t>The rate of change affecting businesses has risen steadily since 2019, by 183%... Technology change increased the most, catapulted by advances in generative AI.</t>
  </si>
  <si>
    <t>p.3 (Key Findings) &amp; p.6 (Technology)</t>
  </si>
  <si>
    <t>rate_of_change_183pct</t>
  </si>
  <si>
    <t>technology_change_acceleration</t>
  </si>
  <si>
    <t>GenAI_impact</t>
  </si>
  <si>
    <t>Quantifies 'Environmental' pressure: 183% increase in change rate drives need for agile, data-led decision making. Addresses RQ3.</t>
  </si>
  <si>
    <t>EXT_GS1_006</t>
  </si>
  <si>
    <t>GS1 UK &amp; FT Longitude</t>
  </si>
  <si>
    <t>A new era of transparency: How UK retail will meet the demands of the informed customer</t>
  </si>
  <si>
    <t>https://www.gs1uk.org/sites/default/files/A%20new%20era%20of%20transparency%20%28GS1%20UK%20%26%20FT%20Longitude%29.pdf</t>
  </si>
  <si>
    <t>76% of companies report that data traceability has a positive impact on the business... 42% say it has had a significant positive impact.</t>
  </si>
  <si>
    <t>p.19 (Delivering transparency)</t>
  </si>
  <si>
    <t>traceability_positive_impact_76pct</t>
  </si>
  <si>
    <t>significant_impact_42pct</t>
  </si>
  <si>
    <t>business_value_driver</t>
  </si>
  <si>
    <t>Confirms Tesco/Sainsbury's focus on traceability</t>
  </si>
  <si>
    <t>Strong ROI evidence: 76% of UK firms see positive impact from data traceability. Validates Value proposition of investing in supply chain visibility. Addresses RQ2.</t>
  </si>
  <si>
    <t>EXT_GS1_007</t>
  </si>
  <si>
    <t>Inventory management (52%) and quality control (45%) are the top two use cases for which companies currently use product data.</t>
  </si>
  <si>
    <t>p.14 (Technology holds all the cards)</t>
  </si>
  <si>
    <t>inventory_management_use_case_52pct</t>
  </si>
  <si>
    <t>quality_control_use_case_45pct</t>
  </si>
  <si>
    <t>current_adoption_priority</t>
  </si>
  <si>
    <t>Cross-checks with Morrisons/Asda inventory focus</t>
  </si>
  <si>
    <t>CRITICAL: Quantifies primary application of product data: Inventory Management (52%). Confirms inventory is #1 driver for data adoption in UK sector. Addresses RQ1.</t>
  </si>
  <si>
    <t>EXT_GS1_008</t>
  </si>
  <si>
    <t>When asked about the biggest barriers to improving data transparency... 32% cite lack of budget/investment and 29% cite legacy IT systems.</t>
  </si>
  <si>
    <t>p.21 (Barriers to transparency)</t>
  </si>
  <si>
    <t>budget_barrier_32pct</t>
  </si>
  <si>
    <t>legacy_IT_barrier_29pct</t>
  </si>
  <si>
    <t>financial_constraints</t>
  </si>
  <si>
    <t>Consistent with BRC Skills/Cost barriers, M&amp;S legacy admission</t>
  </si>
  <si>
    <t>Identifies top two barriers: Budget (32%) and Legacy Systems (29%). Critical TOE Organisation/Technology evidence for RQ3 (Challenges). Addresses RQ3.</t>
  </si>
  <si>
    <t>EXT_GS1_009</t>
  </si>
  <si>
    <t>Only 38% of respondents say their data is fully accurate and up to date... 45% admit their data is somewhat accurate but needs improvement.</t>
  </si>
  <si>
    <t>p.24 (Rebuilding trust with data)</t>
  </si>
  <si>
    <t>data_accuracy_38pct</t>
  </si>
  <si>
    <t>improvement_needed_45pct</t>
  </si>
  <si>
    <t>veracity_gap</t>
  </si>
  <si>
    <t>Consistent with Tesco Data Accuracy notes, M&amp;S 85-80% drop</t>
  </si>
  <si>
    <t>CRITICAL Veracity statistic: Only 38% of UK firms trust data as 'fully accurate'. This Veracity Gap explains why AI scaling (which needs good data) is slow. Addresses RQ3.</t>
  </si>
  <si>
    <t>EXT_GS1_010</t>
  </si>
  <si>
    <t>68% of respondents say that 2D barcodes (e.g. QR codes) will have a significant impact on their business in the next 12-24 months... facilitating richer data sharing.</t>
  </si>
  <si>
    <t>p.15 (Emerging technologies)</t>
  </si>
  <si>
    <t>2D_barcode_impact_68pct</t>
  </si>
  <si>
    <t>rich_data_sharing</t>
  </si>
  <si>
    <t>QR_code_adoption</t>
  </si>
  <si>
    <t>Cross-checks with Ocado DDRS QR code usage</t>
  </si>
  <si>
    <t>Identifies 2D barcodes (QR) as specific Technology Enabler for next 12-24 months. 68% impact expectation aligns with move to 'New-gen supply chains'. Addresses RQ1.</t>
  </si>
  <si>
    <t>EXT_BRC_006</t>
  </si>
  <si>
    <t>2025 Manifesto for Retail: Kickstarting Growth in the Everywhere Economy</t>
  </si>
  <si>
    <t>https://brc.org.uk/media/ygtdtmvv/2025-manifesto-for-retail.pdf</t>
  </si>
  <si>
    <t>In 2023, there were 457,000 incidents of violence and abuse against retail workers... We are calling for... a standalone offence for assaulting a retail worker.</t>
  </si>
  <si>
    <t>p.12 (Get retail crime under control)</t>
  </si>
  <si>
    <t>violence_incidents_457k</t>
  </si>
  <si>
    <t>standalone_offence_call</t>
  </si>
  <si>
    <t>worker_safety</t>
  </si>
  <si>
    <t>Highlights critical Environmental factor (crime/abuse) affecting retail operations. Staff safety is prerequisite for implementing new in-store tech/processes. Addresses RQ3.</t>
  </si>
  <si>
    <t>EXT_BRC_007</t>
  </si>
  <si>
    <t>With retail crime costing the industry £3.3bn last year, including £1.8bn lost to theft, retailers are having to spend more on security measures.</t>
  </si>
  <si>
    <t>retail_crime_cost_£3.3bn</t>
  </si>
  <si>
    <t>theft_loss_£1.8bn</t>
  </si>
  <si>
    <t>security_spend_increase</t>
  </si>
  <si>
    <t>Cross-checks with Asda inventory loss (£87m)</t>
  </si>
  <si>
    <t>CRITICAL: Massive financial impact of Shrinkage (£1.8bn theft). Justifies investment in BD/AI for Loss Prevention (smart cameras, RFID) to reduce inventory loss. Addresses RQ2.</t>
  </si>
  <si>
    <t>EXT_BRC_008</t>
  </si>
  <si>
    <t>Extended Producer Responsibility (EPR) will cost the industry £1.7bn... The Deposit Return Scheme (DRS) will require a £2bn set up cost... These costs must be managed to avoid driving up prices.</t>
  </si>
  <si>
    <t>p.26 (Fit for purpose recycling)</t>
  </si>
  <si>
    <t>EPR_cost_£1.7bn</t>
  </si>
  <si>
    <t>DRS_setup_cost_£2bn</t>
  </si>
  <si>
    <t>inflationary_pressure</t>
  </si>
  <si>
    <t>Cross-checks with Ocado/GS1 DDRS pilot</t>
  </si>
  <si>
    <t>Quantifies massive regulatory costs (£3.7bn total) for sustainability schemes. Financial burden is Barrier to other tech investments but also Enabler for circular economy data systems. Addresses RQ3.</t>
  </si>
  <si>
    <t>EXT_BRC_009</t>
  </si>
  <si>
    <t>The retail industry provides 3 million direct jobs and 2.7 million more in the supply chain... However, we are facing labour shortages... We need a flexible Growth and Skills Levy.</t>
  </si>
  <si>
    <t>p.17 (The British Retail Consortium) &amp; p.22 (Skills)</t>
  </si>
  <si>
    <t>labour_force_3m</t>
  </si>
  <si>
    <t>supply_chain_jobs_2.7m</t>
  </si>
  <si>
    <t>skills_levy_flexibility</t>
  </si>
  <si>
    <t>Cross-checks with Marsh McLennan 48%, Accenture 42%</t>
  </si>
  <si>
    <t>Identifies Skills Gap as major barrier. Call for flexible levy supports need for upskilling staff to manage new BD/AI systems in supply chain. Addresses RQ3.</t>
  </si>
  <si>
    <t>EXT_BRC_010</t>
  </si>
  <si>
    <t>We are calling for... planning reforms to speed up decisions... This will unlock investment in logistics, data centres and green energy infrastructure.</t>
  </si>
  <si>
    <t>p.14 (Improved planning policy)</t>
  </si>
  <si>
    <t>planning_reform_logistics</t>
  </si>
  <si>
    <t>data_centre_investment</t>
  </si>
  <si>
    <t>green_infrastructure</t>
  </si>
  <si>
    <t>Explicit link between government policy (planning) and data centre investment. Infrastructure is physical backbone required for BD scaling. Addresses RQ3.</t>
  </si>
  <si>
    <t>Green energy infrastructure advocacy - policy, not inventory</t>
  </si>
  <si>
    <t>EXT_IGD_001</t>
  </si>
  <si>
    <t>IGD</t>
  </si>
  <si>
    <t>UK roundup: latest retailer technology investments</t>
  </si>
  <si>
    <t>https://www.igd.com/articles/uk-roundup-latest-retailer-technology-investments/71673</t>
  </si>
  <si>
    <t>Morrisons is partnering with US grocery technology company, Instacart, to trial its AI-powered Caper Cart shopping trolleys... Trials will begin at a single store in early 2026.</t>
  </si>
  <si>
    <t>p.2 (Morrisons to begin trial)</t>
  </si>
  <si>
    <t>Caper_Cart_AI_trial</t>
  </si>
  <si>
    <t>Instacart_partnership</t>
  </si>
  <si>
    <t>smart_trolley_rollout</t>
  </si>
  <si>
    <t>Confirms Morrisons tech strategy in Annual Report</t>
  </si>
  <si>
    <t>Evidence of in-store AI application (smart trolleys) to streamline checkout. Move towards 'frictionless' retail, reducing labour costs and improving data capture. Addresses RQ1.</t>
  </si>
  <si>
    <t>EXT_IGD_002</t>
  </si>
  <si>
    <t>In Conversation: Mark Walker on omnichannel's future</t>
  </si>
  <si>
    <t>https://www.igd.com/social-impact/articles/in-conversation-mark-walker-on-omnichannels-future/56079</t>
  </si>
  <si>
    <t>While ecommerce is among the few channels projected for consistent growth through 2029... online sales reached £127.4 billion in 2024, accounting for roughly 28% of total UK retail sales.</t>
  </si>
  <si>
    <t>p.3 (Key challenges for 2025)</t>
  </si>
  <si>
    <t>ecommerce_share_28pct</t>
  </si>
  <si>
    <t>online_sales_£127.4bn</t>
  </si>
  <si>
    <t>channel_growth_CAGR</t>
  </si>
  <si>
    <t>Cross-checks with GS1 Trend Report</t>
  </si>
  <si>
    <t>Quantifies scale of online channel (£127bn, 28%). Structural shift drives need for 'Smarter faster supply chains' and real-time inventory visibility (Velocity). Addresses RQ1.</t>
  </si>
  <si>
    <t>EXT_IGD_003</t>
  </si>
  <si>
    <t>Supply chain trends: how to future-proof &amp; thrive</t>
  </si>
  <si>
    <t>https://www.igd.com/articles/supply-chain-trends-how-to-future-proof-thrive/71888</t>
  </si>
  <si>
    <t>M&amp;S Food's fully robotic distribution centre and Walmart's AI-enabled pallet systems are setting new benchmarks... Micro-fulfilment centres are emerging as the answer to urban density.</t>
  </si>
  <si>
    <t>p.2 (Warehousing becomes smart)</t>
  </si>
  <si>
    <t>robotic_distribution_centre</t>
  </si>
  <si>
    <t>micro_fulfilment_centres</t>
  </si>
  <si>
    <t>warehouse_automation</t>
  </si>
  <si>
    <t>Cross-checks with M&amp;S Gist acquisition</t>
  </si>
  <si>
    <t>Identifies M&amp;S as leader in 'robotic distribution'. Micro-fulfilment is key infrastructure response to demand for speed (Velocity) in urban areas. Addresses RQ1.</t>
  </si>
  <si>
    <t>EXT_IGD_004</t>
  </si>
  <si>
    <t>UK roundup: AI partnership and sustainability news</t>
  </si>
  <si>
    <t>https://www.igd.com/commercial-insight/retail-analysis/trends/articles/uk-roundup-ai-partnership-and-sustainability-news/72186</t>
  </si>
  <si>
    <t>Tesco has announced a three-year partnership with French AI start-up Mistral AI... to co-create new generative AI solutions for Tesco... Asda has reduced its SKU count by 'north of 4,000' in 2025.</t>
  </si>
  <si>
    <t>p.1 (Tesco partnership) &amp; p.2 (Asda SKUs)</t>
  </si>
  <si>
    <t>Mistral_AI_partnership</t>
  </si>
  <si>
    <t>SKU_reduction_4000</t>
  </si>
  <si>
    <t>Generative_AI_lab</t>
  </si>
  <si>
    <t>Cross-checks with Tesco Annual Report</t>
  </si>
  <si>
    <t>Two major strategic moves: Tesco partnering with Mistral AI to build bespoke capability, Asda using data to rationalize range (4,000 SKU reduction). Addresses RQ1.</t>
  </si>
  <si>
    <t>EXT_IGD_005</t>
  </si>
  <si>
    <t>Ocado Retail: Smarter Packaging for a Greener Future</t>
  </si>
  <si>
    <t>https://brc.org.uk/news-and-events/news/corporate-affairs/2025/ungated/ocado-retail-smarter-packaging-for-a-greener-future/</t>
  </si>
  <si>
    <t>Since 2021, they've removed 193 tonnes of packaging and eliminated 32 million unnecessary bits - including 45 tonnes in just the last year... 20,000 cash rewards of 20p were issued within just 55 days.</t>
  </si>
  <si>
    <t>p.1 (Ocado Retail) &amp; p.9 (Rewards)</t>
  </si>
  <si>
    <t>packaging_reduction_193t</t>
  </si>
  <si>
    <t>DDRS_reward_redemption</t>
  </si>
  <si>
    <t>Polytag_technology</t>
  </si>
  <si>
    <t>Cross-checks with Ocado Sustainability Report</t>
  </si>
  <si>
    <t>Hard metrics on Return phase: 193t packaging removed. Proves viability of Digital Deposit Return Schemes (DDRS) using QR codes with high consumer engagement (20k rewards). Addresses RQ2.</t>
  </si>
  <si>
    <t>EXT_IGD_006</t>
  </si>
  <si>
    <t>Marsh McLennan (via BRC)</t>
  </si>
  <si>
    <t>Supply chain resilience: strategies for dealing with supply chain challenges in retail</t>
  </si>
  <si>
    <t>https://brc.org.uk/news-and-events/news/associate-insight/2025/supply-chain-resilience-strategies-for-dealing-with-supply-chain-challenges-in-retail/</t>
  </si>
  <si>
    <t>65% of companies have at least one bottleneck in their supply chain that would cause catastrophic disruption to the business if it failed... One example of such resilient supply chain technologies is Marsh McLennan's Sentrisk, which uses AI.</t>
  </si>
  <si>
    <t>p.2 (Identifying the risks)</t>
  </si>
  <si>
    <t>supply_chain_bottleneck_65pct</t>
  </si>
  <si>
    <t>AI_mapping_Sentrisk</t>
  </si>
  <si>
    <t>catastrophic_disruption_risk</t>
  </si>
  <si>
    <t>Cross-checks with Marsh McLennan main report</t>
  </si>
  <si>
    <t>Quantifies Risk aspect of supply chains (65% have catastrophic bottlenecks). Promotes AI (Sentrisk) as solution for visibility, linking technology to risk mitigation. Addresses RQ3.</t>
  </si>
  <si>
    <t>EXT_DEF_001</t>
  </si>
  <si>
    <t>Government</t>
  </si>
  <si>
    <t>DEFRA</t>
  </si>
  <si>
    <t>Family Food FYE 2024</t>
  </si>
  <si>
    <t>https://www.gov.uk/government/statistics/family-food-fye-2024/family-food-fye-2024</t>
  </si>
  <si>
    <t>In March 2024, the annual CPIH food and non alcoholic beverage prices rose by 4%, which was higher than the CPIH all items rate of 3.8%... Food prices rose sharply between August 2021 and March 2024 during a period of high inflation following the Covid-19 pandemic</t>
  </si>
  <si>
    <t>p.14, Section 1.6 (Effects of food price rises)</t>
  </si>
  <si>
    <t>CPIH_food_inflation_4pct</t>
  </si>
  <si>
    <t>high_inflation_period</t>
  </si>
  <si>
    <t>pandemic_aftermath</t>
  </si>
  <si>
    <t>Corroborates Dissertation Figure 1.1 narrative on market pressures</t>
  </si>
  <si>
    <t>Establishes Environmental pressure (TOE) forcing retailers to optimise costs. High inflation creates margin pressure. Supports RQ3 (Challenges/Drivers). Volatility necessitates velocity of BD (5Vs). Addresses RQ3.</t>
  </si>
  <si>
    <t>EXT_DEF_002</t>
  </si>
  <si>
    <t>Households can react in many ways to food price increases - they may simply spend more, or buy less of a type of product. They may also 'trade down' by switching to purchases of cheaper products within a food category</t>
  </si>
  <si>
    <t>p.15, Section 1.6 (Effects of food price rises)</t>
  </si>
  <si>
    <t>consumer_behaviour_adaptation</t>
  </si>
  <si>
    <t>trading_down</t>
  </si>
  <si>
    <t>demand_volatility</t>
  </si>
  <si>
    <t>Aligns with Dissertation Section 2.4.1 regarding demand variability</t>
  </si>
  <si>
    <t>Trading down behaviour increases data Variety and complicates demand forecasting. Justifies need for AI/ML (RQ1) over traditional historical forecasting which cannot predict rapid behavioural shifts. Addresses RQ1.</t>
  </si>
  <si>
    <t>EXT_DEF_003</t>
  </si>
  <si>
    <t>Purchases of the majority of household food and drinks saw a decrease... decreased by 11.9%, 5.5% and 5.2% respectively between FYE 2023 and FYE 2024. Only 5 of the 18 categories saw an increase</t>
  </si>
  <si>
    <t>p.18-19, Section 2.2 (Household purchases)</t>
  </si>
  <si>
    <t>purchase_volume_decline</t>
  </si>
  <si>
    <t>category_demand_contraction</t>
  </si>
  <si>
    <t>broad_based_volume_loss</t>
  </si>
  <si>
    <t>Supports general market pressure narrative</t>
  </si>
  <si>
    <t>Highlights divergence between expenditure (up due to inflation) and volume (down). If retailers forecast inventory based on revenue growth, they will overstock. Validates need for Veracity in data analytics (RQ1). Addresses RQ1.</t>
  </si>
  <si>
    <t>EXT_DEF_004</t>
  </si>
  <si>
    <t>In FYE 2024, the average household spent 11.3% of their expenditure on food and non-alcoholic drinks... while for the lowest 20% of households by disposable equivalised income it was higher at 14.3%.</t>
  </si>
  <si>
    <t>p.12, Section 1.5 (Indicator of affordability of food)</t>
  </si>
  <si>
    <t>wallet_share_food_11.3pct</t>
  </si>
  <si>
    <t>low_income_burden_14.3pct</t>
  </si>
  <si>
    <t>affordability_gap</t>
  </si>
  <si>
    <t>Supports Dissertation Figure 1.1 showing Discounter Growth</t>
  </si>
  <si>
    <t>Higher burden on low-income households drives shift to Discounters (Aldi/Lidl), increasing Competitive_Dynamics. Forces traditional retailers to use BD for Cost Reduction (TH_02) to compete on price. Addresses RQ2.</t>
  </si>
  <si>
    <t>EXT_DEF_005</t>
  </si>
  <si>
    <t>DEFRA / Kantar Worldpanel</t>
  </si>
  <si>
    <t>Food statistics in your pocket</t>
  </si>
  <si>
    <t>https://www.gov.uk/government/statistics/food-statistics-pocketbook/food-statistics-in-your-pocket</t>
  </si>
  <si>
    <t>Tesco continued to have the largest market share at 27.9%. The three largest discounters (Aldi, Lidl and Iceland) had a combined market share of 21.0%.</t>
  </si>
  <si>
    <t>p.7, Section 1.6 (UK grocery market shares)</t>
  </si>
  <si>
    <t>market_share_tesco_27.9pct</t>
  </si>
  <si>
    <t>discounter_share_21pct</t>
  </si>
  <si>
    <t>competitive_fragmentation</t>
  </si>
  <si>
    <t>Corroborates Dissertation Figure 1.1 (Kantar 2025 data)</t>
  </si>
  <si>
    <t>CRITICAL: Confirms competitive pressure (TOE_Env) driving BD adoption. 21% share for discounters forces traditional retailers to use BD for Cost Reduction (TH_02) to compete. Addresses RQ1/RQ3.</t>
  </si>
  <si>
    <t>EXT_DEF_006</t>
  </si>
  <si>
    <t>DEFRA / ONS</t>
  </si>
  <si>
    <t>Food and non-alcoholic beverage prices rose by 3.3% in the 12 months to February 2025... Food and non-alcoholic beverages CPIH inflation peaked in March 2023 at 19.2%</t>
  </si>
  <si>
    <t>p.1, Section 1 &amp; p.10, Section 2.2</t>
  </si>
  <si>
    <t>inflation_peak_19.2pct</t>
  </si>
  <si>
    <t>current_inflation_3.3pct</t>
  </si>
  <si>
    <t>price_volatility</t>
  </si>
  <si>
    <t>Updates EXT_DEF_001 with more recent Feb 2025 data</t>
  </si>
  <si>
    <t>CRITICAL: Extreme volatility (19.2% peak to 3.3%) illustrates environment where historical forecasting models fail. Necessitates velocity and veracity in BD analytics (5Vs) for accurate demand planning. Addresses RQ1.</t>
  </si>
  <si>
    <t>EXT_DEF_007</t>
  </si>
  <si>
    <t>DEFRA / FSA</t>
  </si>
  <si>
    <t>The most common concerns amongst consumers in England, Wales, and Northern Ireland were food prices (69%), food waste (58%) and the quality of food (57%).</t>
  </si>
  <si>
    <t>p.29, Section 4.7 (Food concerns)</t>
  </si>
  <si>
    <t>consumer_concern_price_69pct</t>
  </si>
  <si>
    <t>consumer_concern_waste_58pct</t>
  </si>
  <si>
    <t>quality_concern_57pct</t>
  </si>
  <si>
    <t>Supports RQ2 regarding waste reduction as key value driver</t>
  </si>
  <si>
    <t>High consumer concern for waste (58%) validates retailer focus on using BD for waste reduction (dynamic markdowns). Aligning inventory to reduce waste is both cost saver and reputation necessity. Addresses RQ2.</t>
  </si>
  <si>
    <t>EXT_DEF_008</t>
  </si>
  <si>
    <t>In 2023 the value of food, feed and drink imports decreased by 8.8% to £61.1bn in real terms... The food chain has less scope for growth as there is a limit to consumer intake capacity but can look to make gains in its efficiency.</t>
  </si>
  <si>
    <t>p.20, Section 3.5 &amp; p.3, Section 1.1</t>
  </si>
  <si>
    <t>efficiency_imperative</t>
  </si>
  <si>
    <t>import_volatility</t>
  </si>
  <si>
    <t>market_saturation</t>
  </si>
  <si>
    <t>CRITICAL: DEFRA explicitly states sector must look to 'gains in its efficiency' rather than volume growth. Fundamental business case for BD investments (RQ1/TH_01) in inventory optimization. Addresses RQ1.</t>
  </si>
  <si>
    <t>EXT_DEF_009</t>
  </si>
  <si>
    <t>UK Food Security Index 2024</t>
  </si>
  <si>
    <t>https://www.gov.uk/government/publications/uk-food-security-index-2024/uk-food-security-index-2024</t>
  </si>
  <si>
    <t>Indicator 2.1.2: Global supply chain risks... The indicator shows a 'broadly stable' trend for short-term risks but highlights 'longer term risks are increasing' due to climate change and geopolitical instability.</t>
  </si>
  <si>
    <t>Section 2 (Global Supply)</t>
  </si>
  <si>
    <t>long_term_risk_increase</t>
  </si>
  <si>
    <t>supply_chain_instability</t>
  </si>
  <si>
    <t>climate_risk_factor</t>
  </si>
  <si>
    <t>Aligns with Efficiency-Resilience Paradox (Sheffi/Christopher)</t>
  </si>
  <si>
    <t>Official government acknowledgement that 'longer term risks are increasing' validates business case for Predictive Analytics (BD) to model complex risks, moving beyond simple historical forecasting. Addresses RQ1.</t>
  </si>
  <si>
    <t>EXT_DEF_010</t>
  </si>
  <si>
    <t>Indicator 4.1.2: Food Prices... The index notes that while food prices have stabilised, they remain high relative to historical levels, impacting household affordability.</t>
  </si>
  <si>
    <t>Section 4 (Household Food Security)</t>
  </si>
  <si>
    <t>prices_stabilised_but_high</t>
  </si>
  <si>
    <t>affordability_impact</t>
  </si>
  <si>
    <t>historical_price_elevation</t>
  </si>
  <si>
    <t>Contextualises the 4% inflation figure from EXT_DEF_001</t>
  </si>
  <si>
    <t>High prices force consumers to trade down, increasing demand volatility. 'Sustained pressure' means need for BD efficiency isn't temporary; it's structural requirement for foreseeable future. Addresses RQ3.</t>
  </si>
  <si>
    <t>EXT_DEF_011</t>
  </si>
  <si>
    <t>United Kingdom Food Security Report 2024</t>
  </si>
  <si>
    <t>https://assets.publishing.service.gov.uk/media/6756e355d89258d2868dae76/United_Kingdom_Food_Security_Report_2024_11dec2024_web_accessible.pdf</t>
  </si>
  <si>
    <t>Russia's invasion of Ukraine caused a spike in input costs such as energy and fertiliser... The shock led to business uncertainty and the highest food inflation spike for consumers in 45 years.</t>
  </si>
  <si>
    <t>Theme 3: Food Supply Chain Resilience</t>
  </si>
  <si>
    <t>inflation_spike_45_year_high</t>
  </si>
  <si>
    <t>input_cost_volatility</t>
  </si>
  <si>
    <t>geopolitical_vulnerability</t>
  </si>
  <si>
    <t>Contextualises EXT_DEF_001 (4% inflation) by identifying root cause</t>
  </si>
  <si>
    <t>CRITICAL: '45-year high' inflation creates margin pressure making BD efficiency (TH_02) essential. Validates Velocity requirement (5Vs) - historical data from stable periods no longer predictive. Addresses RQ3.</t>
  </si>
  <si>
    <t>EXT_DEF_012</t>
  </si>
  <si>
    <t>Single points of failure in food supply chains pose resilience risks with evidence of reliance on regionally concentrated suppliers... making the UK vulnerable to supplier failure (such as sunflower oil from Ukraine).</t>
  </si>
  <si>
    <t>single_point_of_failure</t>
  </si>
  <si>
    <t>supplier_concentration_risk</t>
  </si>
  <si>
    <t>resilience_vulnerability</t>
  </si>
  <si>
    <t>Supports Efficiency-Resilience Paradox (Christopher, 2023)</t>
  </si>
  <si>
    <t>CRITICAL: 'Concentrated risk' is what BD supply chain mapping (digital twins) seeks to mitigate. Retailers use BD to identify single points of failure *before* they break. Addresses RQ1.</t>
  </si>
  <si>
    <t>EXT_DEF_013</t>
  </si>
  <si>
    <t>The published first estimate of the 2024 English cereal and oilseed harvest shows a 22% decrease (around 2.8mt) in harvested wheat from 2023... extreme weather events continue to have a significant effect on domestic production.</t>
  </si>
  <si>
    <t>Theme 2: UK Food Supply Sources</t>
  </si>
  <si>
    <t>harvest_decline_22pct</t>
  </si>
  <si>
    <t>extreme_weather_impact</t>
  </si>
  <si>
    <t>domestic_production_volatility</t>
  </si>
  <si>
    <t>22% drop in core staples creates immediate supply gaps. Highlights need for Predictive Analytics (RQ1) incorporating weather data (Variety in 5Vs) to forecast supply shortages. Addresses RQ1.</t>
  </si>
  <si>
    <t>EXT_DEF_014</t>
  </si>
  <si>
    <t>In 2023, food prices became the top food-related prompted concern among UK consumers... 72% in England, Wales and Northern Ireland highlighted concerns about food prices.</t>
  </si>
  <si>
    <t>Theme 5: Food Safety and Consumer Confidence</t>
  </si>
  <si>
    <t>consumer_concern_price_72pct</t>
  </si>
  <si>
    <t>price_sensitivity</t>
  </si>
  <si>
    <t>behavioural_shift</t>
  </si>
  <si>
    <t>Corroborates EXT_DEF_007 which cited 69%</t>
  </si>
  <si>
    <t>Confirms price is dominant consumer driver. Supports retail focus on Dynamic Pricing and Markdown Optimisation algorithms (RQ2) to address concern while managing margins. Addresses RQ2.</t>
  </si>
  <si>
    <t>EXT_ONS_001</t>
  </si>
  <si>
    <t>Office for National Statistics (ONS)</t>
  </si>
  <si>
    <t>Retail sales, Great Britain: November 2025</t>
  </si>
  <si>
    <t>https://www.ons.gov.uk/businessindustryandtrade/retailindustry/bulletins/retailsales/november2025/pdf</t>
  </si>
  <si>
    <t>Retail sales volumes (quantity bought) are estimated to have fallen by 0.4% in November 2025, following a rise of 0.8% in October 2025... Food stores sales volumes fell by 0.3% in November 2025.</t>
  </si>
  <si>
    <t>p.2, Section 1 (Main points)</t>
  </si>
  <si>
    <t>retail_volumes_fall_0.4pct</t>
  </si>
  <si>
    <t>food_store_volumes_fall_0.3pct</t>
  </si>
  <si>
    <t>market_contraction</t>
  </si>
  <si>
    <t>Consistent with DEFRA reports (EXT_DEF_003) showing volume declines</t>
  </si>
  <si>
    <t>Decline in food volumes (-0.3%) despite Christmas trading period indicates 'Trading Down' or reduced consumption. Contraction forces retailers to optimise *existing* inventory, key driver for efficiency algorithms. Addresses RQ3.</t>
  </si>
  <si>
    <t>EXT_ONS_002</t>
  </si>
  <si>
    <t>The proportion of retail sales online rose to 27.2% in November 2025, from 26.8% in October 2025... Online spending values rose by 1.6% over the month, while total spending fell by 0.2%.</t>
  </si>
  <si>
    <t>p.9, Section 5 (Online retail)</t>
  </si>
  <si>
    <t>online_penetration_27.2pct</t>
  </si>
  <si>
    <t>online_growth_divergence</t>
  </si>
  <si>
    <t>channel_shift</t>
  </si>
  <si>
    <t>Supports dissertation narrative on Ocado/Tesco digital focus</t>
  </si>
  <si>
    <t>27.2% online share represents significant portion of inventory moving through digital channels. High Variety of data (clickstream + transaction) and Velocity of online orders necessitates real-time inventory visibility. Addresses RQ1.</t>
  </si>
  <si>
    <t>EXT_ONS_003</t>
  </si>
  <si>
    <t>Supermarkets reported a fall in sales volumes of 0.2% over the month... specialist food stores (such as butchers and bakers) reported a fall of 1.4%.</t>
  </si>
  <si>
    <t>p.5, Section 3 (Sales by sector)</t>
  </si>
  <si>
    <t>supermarket_volume_fall</t>
  </si>
  <si>
    <t>specialist_store_decline</t>
  </si>
  <si>
    <t>sector_contraction</t>
  </si>
  <si>
    <t>Steeper decline in specialist stores (-1.4%) vs supermarkets (-0.2%) suggests market consolidation towards major players (Tesco/Sainsbury's) who have scale to invest in BD. Small specialists lack Organisation (TOE_Org) resources. Addresses RQ3.</t>
  </si>
  <si>
    <t>EXT_BCG_001</t>
  </si>
  <si>
    <t>Boston Consulting Group (BCG)</t>
  </si>
  <si>
    <t>The AI-First Retailer</t>
  </si>
  <si>
    <t>https://web-assets.bcg.com/pdf-src/prod-live/rewriting-rules-the-ai-first-retailer.pdf</t>
  </si>
  <si>
    <t>Almost two-thirds of US consumers have used AI tools in their shopping journey. Walmart's announcement that it will allow its customers to make purchases within ChatGPT... shows the speed and impact of this change.</t>
  </si>
  <si>
    <t>p.2 (Four converging forces)</t>
  </si>
  <si>
    <t>consumer_AI_usage_66pct</t>
  </si>
  <si>
    <t>ChatGPT_commerce_integration</t>
  </si>
  <si>
    <t>shopping_journey_disruption</t>
  </si>
  <si>
    <t>Consistent with Capgemini 58% search replacement</t>
  </si>
  <si>
    <t>High adoption rate (66% in US) validates rapid consumer shift towards AI-mediated shopping. Supports Competitive Dynamics theme—retailers must integrate with these platforms. Addresses RQ3.</t>
  </si>
  <si>
    <t>09-01-2026</t>
  </si>
  <si>
    <t>EXT_BCG_002</t>
  </si>
  <si>
    <t>Forty percent of major retailers have added senior AI leadership roles. Slower movers will face challenges in attracting the best people in a scarce talent marketplace.</t>
  </si>
  <si>
    <t>senior_AI_leadership_40pct</t>
  </si>
  <si>
    <t>talent_scarcity_challenge</t>
  </si>
  <si>
    <t>organizational_restructuring</t>
  </si>
  <si>
    <t>Cross-checks with BRC/Marsh Skills Gap findings</t>
  </si>
  <si>
    <t>Quantifies Organizational response: 40% of leaders have created specific AI roles. Highlights Skills Gap as competitive differentiator in talent market. Addresses RQ3.</t>
  </si>
  <si>
    <t>EXT_BCG_003</t>
  </si>
  <si>
    <t>The merchant of the future will manage a team of AI agents: one negotiating contracts, one shaping prices, one allocating stock to stores, and one localizing assortments.</t>
  </si>
  <si>
    <t>p.3 (Internal: AI Agents)</t>
  </si>
  <si>
    <t>AI_agent_orchestration</t>
  </si>
  <si>
    <t>autonomous_merchandising</t>
  </si>
  <si>
    <t>functional_transformation</t>
  </si>
  <si>
    <t>Cross-checks with McKinsey Agentic AI vision</t>
  </si>
  <si>
    <t>Defines Future State of retail merchandising: hybrid human-agent workforce. Directly addresses RQ3 (Future Opportunities) and Agentic AI trend. Addresses RQ1.</t>
  </si>
  <si>
    <t>EXT_BCG_004</t>
  </si>
  <si>
    <t>Nearly half of consumers already trust product recommendations made by AI more than those of their friends... Retailers risk being left on the outside looking in as AI becomes a primary way consumers shop.</t>
  </si>
  <si>
    <t>p.2 (External: AI Redefines Experience)</t>
  </si>
  <si>
    <t>AI_trust_vs_social_proof</t>
  </si>
  <si>
    <t>algorithmic_influence_growth</t>
  </si>
  <si>
    <t>product_discovery_shift</t>
  </si>
  <si>
    <t>Consistent with Capgemini GenAI Search trend</t>
  </si>
  <si>
    <t>CRITICAL Veracity statistic: consumers trust AI (machine data) more than friends (social data). Validates power of Algorithmic Authority in modern retail. Addresses RQ1.</t>
  </si>
  <si>
    <t>EXT_BCG_005</t>
  </si>
  <si>
    <t>Retailers like Walmart are using AI to automate negotiations with smaller vendors, while Starbucks's Green Dot Assist platform uses AI to onboard new baristas.</t>
  </si>
  <si>
    <t>automated_negotiation_Walmart</t>
  </si>
  <si>
    <t>Starbucks_AI_onboarding</t>
  </si>
  <si>
    <t>operational_efficiency_use_cases</t>
  </si>
  <si>
    <t>Specific examples of Source (negotiation) and Enable (onboarding) efficiency. Demonstrates AI moving beyond simple chat to complex operational tasks. Addresses RQ1.</t>
  </si>
  <si>
    <t>EXT_CAP_001</t>
  </si>
  <si>
    <t>Capgemini Research Institute</t>
  </si>
  <si>
    <t>What Matters to Today's Consumer (Press Release)</t>
  </si>
  <si>
    <t>https://www.capgemini.com/wp-content/uploads/2025/01/01_09_Capgemini-Press-release_Consumer-Trends-CRI-report-1.pdf</t>
  </si>
  <si>
    <t>Over half (58%) of consumers have replaced traditional search engines with Gen AI tools for product/service recommendations, up significantly from 25% in 2023</t>
  </si>
  <si>
    <t>p.1 (Headline bullets)</t>
  </si>
  <si>
    <t>search_engine_displacement_58pct</t>
  </si>
  <si>
    <t>adoption_surge_vs_2023</t>
  </si>
  <si>
    <t>Cross-checks with Accenture GenAI as top change driver</t>
  </si>
  <si>
    <t>CRITICAL: Major shift in consumer behaviour (Search -&gt; GenAI). Validates need for retailers to optimize data for LLMs (Volume/Variety) rather than just SEO. Addresses RQ1.</t>
  </si>
  <si>
    <t>EXT_CAP_002</t>
  </si>
  <si>
    <t>Consumer satisfaction with the technology is down from last year (at 37% in 2024 compared to 41% in 2023)... Gen AI usage is not meeting expectations.</t>
  </si>
  <si>
    <t>p.1 (Gen AI usage not meeting expectations)</t>
  </si>
  <si>
    <t>GenAI_satisfaction_decline_37pct</t>
  </si>
  <si>
    <t>expectation_reality_gap</t>
  </si>
  <si>
    <t>technology_disillusionment</t>
  </si>
  <si>
    <t>Contradicts High Optimism in Accenture Executive Survey</t>
  </si>
  <si>
    <t>Evidence of Trough of Disillusionment (Gartner hype cycle). Satisfaction dropping (37%) suggests current retail AI implementations failing to deliver value (Veracity/Value). Addresses RQ3.</t>
  </si>
  <si>
    <t>EXT_CAP_003</t>
  </si>
  <si>
    <t>Willingness to pay more for quick delivery skyrocketed from 41% in 2023 to 70% in 2024... consumers are now willing to pay 9% of the order value for 2-hour and 10-minute delivery.</t>
  </si>
  <si>
    <t>p.2 (Consumers may pay for fast delivery)</t>
  </si>
  <si>
    <t>quick_delivery_payment_willingness_70pct</t>
  </si>
  <si>
    <t>premium_delivery_value_9pct</t>
  </si>
  <si>
    <t>last_mile_economics</t>
  </si>
  <si>
    <t>Consistent with BRC Consumer Caution narrative</t>
  </si>
  <si>
    <t>CRITICAL: Strong economic validation for Velocity. Consumers willing to pay 9% premium for speed, justifying investment in Micro-fulfilment and real-time inventory visibility. Addresses RQ2.</t>
  </si>
  <si>
    <t>EXT_CAP_004</t>
  </si>
  <si>
    <t>67% would switch retailers due to a lack of sustainability... [but] the proportion... willing to pay more than 5% has dropped consistently over the past two years.</t>
  </si>
  <si>
    <t>p.2 (Consumers expect sustainable products)</t>
  </si>
  <si>
    <t>sustainability_switching_67pct</t>
  </si>
  <si>
    <t>willingness_to_pay_drop</t>
  </si>
  <si>
    <t>cost_sensitivity_vs_values</t>
  </si>
  <si>
    <t>Consistent with Deloitte Cost of Living impacts</t>
  </si>
  <si>
    <t>CRITICAL: Green Gap - consumers demand sustainability (67% switch) but won't pay for it. Retailers must use BD to deliver ESG outcomes *efficiently* (cost reduction), not as premium add-on. Addresses RQ2.</t>
  </si>
  <si>
    <t>EXT_CAP_005</t>
  </si>
  <si>
    <t>71% of consumers wanting it [Gen AI] to be integrated into their purchasing experiences... Two-thirds of Gen Z and millennials want hyper-personalized content</t>
  </si>
  <si>
    <t>p.1 (Introduction)</t>
  </si>
  <si>
    <t>GenAI_integration_demand_71pct</t>
  </si>
  <si>
    <t>hyper_personalisation_demand</t>
  </si>
  <si>
    <t>Gen_Z_preference</t>
  </si>
  <si>
    <t>Consistent with McKinsey Personalisation at Scale</t>
  </si>
  <si>
    <t>Strong demand signal (71%) for AI integration. Retailers failing to adopt hyper-personalisation engines risk losing Gen Z demographic (Competitive Dynamics). Addresses RQ1.</t>
  </si>
  <si>
    <t>EXT_CAP_006</t>
  </si>
  <si>
    <t>What matters to today's consumer 2025 (Infographic)</t>
  </si>
  <si>
    <t>https://www.capgemini.com/wp-content/uploads/2025/01/Final-Infographic-Consumer-Trends-2025.pdf</t>
  </si>
  <si>
    <t>68% of consumers want Gen AI tools to aggregate search results from online search engines, social media platforms, and retailers' websites to provide a one-stop-shop for highlighted purchase options.</t>
  </si>
  <si>
    <t>p.1 (Gen AI gains traction)</t>
  </si>
  <si>
    <t>GenAI_search_aggregation_68pct</t>
  </si>
  <si>
    <t>one_stop_shop_demand</t>
  </si>
  <si>
    <t>platform_aggregation</t>
  </si>
  <si>
    <t>Consistent with Agentic AI themes in Accenture/McKinsey</t>
  </si>
  <si>
    <t>High demand (68%) for aggregation confirms need for BD systems that can ingest and synthesize Variety (social, search, retail data) into single GenAI interface. Addresses RQ1.</t>
  </si>
  <si>
    <t>EXT_CAP_007</t>
  </si>
  <si>
    <t>58% of consumers have replaced traditional search engines by Gen AI tools (such as ChatGPT) as their go-to tools for product/service recommendations.</t>
  </si>
  <si>
    <t>p.1 (Paths to discovery)</t>
  </si>
  <si>
    <t>search_engine_replacement_58pct</t>
  </si>
  <si>
    <t>product_recommendation_shift</t>
  </si>
  <si>
    <t>discovery_channel_disruption</t>
  </si>
  <si>
    <t>Cross-checks with Capgemini Press Release</t>
  </si>
  <si>
    <t>Massive structural shift in Discovery: 58% of consumers bypassing Google for GenAI. Retailers must optimize data for LLMs (Volume/Veracity) or risk invisibility. Addresses RQ1.</t>
  </si>
  <si>
    <t>EXT_CAP_008</t>
  </si>
  <si>
    <t>65% of consumers say 2-hour delivery preference is a key attribute when they shop... Demand for 2 hour delivery increased from 34% to 65%.</t>
  </si>
  <si>
    <t>p.1 (Make it snappy)</t>
  </si>
  <si>
    <t>2_hour_delivery_preference_65pct</t>
  </si>
  <si>
    <t>demand_surge_34_to_65pct</t>
  </si>
  <si>
    <t>quick_commerce_growth</t>
  </si>
  <si>
    <t>Consistent with Willingness to Pay in Press Release</t>
  </si>
  <si>
    <t>CRITICAL: Quantifies Velocity demand shock - 2-hour delivery preference nearly doubled (34% to 65%). Requires real-time inventory visibility and predictive staging. Addresses RQ1.</t>
  </si>
  <si>
    <t>EXT_CAP_009</t>
  </si>
  <si>
    <t>Consumers still prioritize discounts and private labels... More than 90% of Digital-First Trailblazers are buying private label brands.</t>
  </si>
  <si>
    <t>p.1 (Seeing the light)</t>
  </si>
  <si>
    <t>private_label_adoption_90pct</t>
  </si>
  <si>
    <t>digital_first_behaviour</t>
  </si>
  <si>
    <t>cost_sensitivity_persistence</t>
  </si>
  <si>
    <t>Cross-checks with Deloitte Affordable Alternatives</t>
  </si>
  <si>
    <t>Identifies Private Label as key behavior for digitally savvy consumers (90%). Retailers need data to optimize these own-brand assortments for margin protection. Addresses RQ2.</t>
  </si>
  <si>
    <t>EXT_CAP_010</t>
  </si>
  <si>
    <t>Experimentation and lack of personalization are major reasons for switching brands... Sustainability and lack of personalization are major reasons for switching retailers.</t>
  </si>
  <si>
    <t>p.1 (The grass is greener)</t>
  </si>
  <si>
    <t>switching_driver_personalisation</t>
  </si>
  <si>
    <t>switching_driver_sustainability</t>
  </si>
  <si>
    <t>brand_loyalty_erosion</t>
  </si>
  <si>
    <t>Consistent with GenAI Divide (Experience Gap)</t>
  </si>
  <si>
    <t>Highlights Lack of Personalization as dual killer of loyalty for both Brands and Retailers. Validates Value case for investing in AI-driven personalization engines. Addresses RQ2.</t>
  </si>
  <si>
    <t>EXT_CAP_011</t>
  </si>
  <si>
    <t>New-generation supply chain: Connecting the links to reach common goals (Infographic)</t>
  </si>
  <si>
    <t>https://www.capgemini.com/wp-content/uploads/2025/08/Final-Infographic-Supply-Chain.pdf</t>
  </si>
  <si>
    <t>74% of executives cite cybersecurity risks as a key challenge for their organization's supply chain... 79% are very concerned about cybersecurity visibility of the supply chain.</t>
  </si>
  <si>
    <t>p.1 (Agility is the core)</t>
  </si>
  <si>
    <t>cybersecurity_risk_74pct</t>
  </si>
  <si>
    <t>visibility_concern_79pct</t>
  </si>
  <si>
    <t>digitalization_threat</t>
  </si>
  <si>
    <t>Consistent with Marsh Cyber Risk findings</t>
  </si>
  <si>
    <t>Identifies Cybersecurity (74%) as top barrier/challenge, surpassing even inflation. Validates Data Governance and Veracity as critical gatekeepers for BD adoption. Addresses RQ3.</t>
  </si>
  <si>
    <t>EXT_CAP_012</t>
  </si>
  <si>
    <t>66% of executives agree that supply chain investments and costs are likely to increase in the next couple of years... Rising costs and inflation make cost efficiency an imperative.</t>
  </si>
  <si>
    <t>cost_investment_increase_66pct</t>
  </si>
  <si>
    <t>inflation_imperative</t>
  </si>
  <si>
    <t>efficiency_focus</t>
  </si>
  <si>
    <t>Consistent with Deloitte Margin Meltdown</t>
  </si>
  <si>
    <t>Confirms Cost Pressure environment (66% expect increases). Drives business case for BD: must deliver Cost Efficiency to offset inflationary headwinds. Addresses RQ2.</t>
  </si>
  <si>
    <t>EXT_CAP_013</t>
  </si>
  <si>
    <t>Impact of technology adoption on sustainability (Green AI) increased from 12% in 2022 to 50% in 2025.</t>
  </si>
  <si>
    <t>p.4 (Sustainability trends)</t>
  </si>
  <si>
    <t>Green_AI_impact_50pct</t>
  </si>
  <si>
    <t>tech_sustainability_growth</t>
  </si>
  <si>
    <t>longitudinal_improvement</t>
  </si>
  <si>
    <t>Cross-checks with WRAP Tech for Green</t>
  </si>
  <si>
    <t>CRITICAL: Quantifies Green AI trend. Jump from 12% to 50% impact proves technology moving from theoretical enabler to practical driver of sustainability outcomes. Addresses RQ2.</t>
  </si>
  <si>
    <t>EXT_CAP_014</t>
  </si>
  <si>
    <t>68% of organizations have established a clear vision and objectives for their supply chain in 2025, up from 35% in 2022.</t>
  </si>
  <si>
    <t>p.1 (Three pillars)</t>
  </si>
  <si>
    <t>strategic_vision_68pct</t>
  </si>
  <si>
    <t>vision_growth_vs_2022</t>
  </si>
  <si>
    <t>organizational_alignment</t>
  </si>
  <si>
    <t>Significant jump in strategic maturity (35% to 68%). Shows Organizational readiness (TOE) has improved drastically, potentially resolving earlier Lack of Vision barriers. Addresses RQ3.</t>
  </si>
  <si>
    <t>EXT_CAP_015</t>
  </si>
  <si>
    <t>Over the past three years, organizations' supply chains have changed significantly - 72% of executives agree with this in 2025, compared with 54% in 2022.</t>
  </si>
  <si>
    <t>supply_chain_change_72pct</t>
  </si>
  <si>
    <t>transformation_acceleration</t>
  </si>
  <si>
    <t>volatile_environment</t>
  </si>
  <si>
    <t>Consistent with Accenture Rate of Change data</t>
  </si>
  <si>
    <t>Validates macro-environment of flux. 72% reporting significant change underscores need for Agile supply chains supported by real-time data (Velocity). Addresses RQ3.</t>
  </si>
  <si>
    <t>EXT_ACC_007</t>
  </si>
  <si>
    <t>Companies with Next-Generation Supply Chain Capabilities Achieve 23% Greater Profitability</t>
  </si>
  <si>
    <t>https://newsroom.accenture.com/</t>
  </si>
  <si>
    <t>The report shows that 'Leaders'... achieved 23% higher margins than their peers (11.8% vs. 9.6%) between 2019 and 2023. At the same time, they delivered 15% better returns to shareholders.</t>
  </si>
  <si>
    <t>p.1 (Stronger financial performance)</t>
  </si>
  <si>
    <t>margin_uplift_23pct</t>
  </si>
  <si>
    <t>shareholder_return_15pct</t>
  </si>
  <si>
    <t>financial_performance_gap</t>
  </si>
  <si>
    <t>Consistent with Capgemini 23% profit claim</t>
  </si>
  <si>
    <t>CRITICAL ANCHOR METRIC: Direct financial correlation between supply chain maturity (defined by GenAI/ML use) and profitability (23% uplift). This is Value proposition for thesis. Addresses RQ2.</t>
  </si>
  <si>
    <t>EXT_ACC_008</t>
  </si>
  <si>
    <t>While the average supply chain maturity score has jumped by more than 50% between 2019 and 2023, the average score across all companies remains low, at just 36%.</t>
  </si>
  <si>
    <t>p.2 (Maturity lacking across the board)</t>
  </si>
  <si>
    <t>average_maturity_score_36pct</t>
  </si>
  <si>
    <t>maturity_growth_50pct</t>
  </si>
  <si>
    <t>low_industry_readiness</t>
  </si>
  <si>
    <t>Cross-checks with Accenture Pulse of Change preparedness gap</t>
  </si>
  <si>
    <t>CRITICAL: Quantifies Maturity Gap. Despite hype, average score only 36%, indicating most firms (including UK) still in Digital or Basic stages, not Next-Gen. Addresses RQ3.</t>
  </si>
  <si>
    <t>EXT_ACC_009</t>
  </si>
  <si>
    <t>While only 9% of all companies use AI and generative AI widely across their supply chains, substantially more leaders already do (37%) compared to just 6% of their peers.</t>
  </si>
  <si>
    <t>AI_wide_usage_9pct</t>
  </si>
  <si>
    <t>leader_AI_adoption_37pct</t>
  </si>
  <si>
    <t>adoption_gap_leaders_vs_peers</t>
  </si>
  <si>
    <t>Cross-checks with McKinsey 2% scaling stat</t>
  </si>
  <si>
    <t>CRITICAL: Highlights Digital Divide. Leaders are 6x more likely to use AI widely (37% vs 6%). Disparity explains why some retailers (Leaders) pulling ahead while others struggle. Addresses RQ1.</t>
  </si>
  <si>
    <t>EXT_ACC_010</t>
  </si>
  <si>
    <t>Leaders are... eight times as likely to reduce the time it takes to develop and launch new products by 30%... and six times as likely to improve the efficiency of engineering resources by 30%.</t>
  </si>
  <si>
    <t>p.2 (Leaders expecting significant benefits)</t>
  </si>
  <si>
    <t>time_to_market_reduction_30pct</t>
  </si>
  <si>
    <t>engineering_efficiency_30pct</t>
  </si>
  <si>
    <t>innovation_acceleration</t>
  </si>
  <si>
    <t>Quantifies efficiency in Plan/Make phases. 30% reduction in product development time is critical Velocity benefit, allowing faster response to consumer trends. Addresses RQ2.</t>
  </si>
  <si>
    <t>EXT_ACC_011</t>
  </si>
  <si>
    <t>Companies with supply chain maturity scores of 25% or lower-almost one in three companies-must act fast to catch up. Otherwise, there is a real risk they won't survive in today's new economic and industrial context.</t>
  </si>
  <si>
    <t>p.3 (Reinventing supply chains)</t>
  </si>
  <si>
    <t>survival_risk_low_maturity</t>
  </si>
  <si>
    <t>maturity_threshold_25pct</t>
  </si>
  <si>
    <t>economic_context_pressure</t>
  </si>
  <si>
    <t>Cross-checks with Marsh Overinvestment Paradox survival theme</t>
  </si>
  <si>
    <t>CRITICAL: Existential threat narrative. Defines danger zone (score &lt;25%) where firms at risk of failure. One in three companies fall into this category, emphasizing urgency of adoption. Addresses RQ3.</t>
  </si>
  <si>
    <t>EXT_BCG_006</t>
  </si>
  <si>
    <t>Agentic Commerce Is Redefining Retail</t>
  </si>
  <si>
    <t>https://www.bcg.com/publications/2025/agentic-commerce-redefining-retail-how-to-respond</t>
  </si>
  <si>
    <t>Traffic to US retail sites from GenAI browsers and chat services increased 4,700% year-over-year in July 2025... these users are engaging more deeply: they spend 32% more time on the site.</t>
  </si>
  <si>
    <t>The Rise of Agentic Commerce</t>
  </si>
  <si>
    <t>GenAI_traffic_increase_4700pct</t>
  </si>
  <si>
    <t>user_engagement_uplift_32pct</t>
  </si>
  <si>
    <t>traffic_source_disruption</t>
  </si>
  <si>
    <t>Consistent with Capgemini Search Displacement finding</t>
  </si>
  <si>
    <t>CRITICAL: Explosive growth metric (4,700%) for GenAI traffic. Although US data, magnitude indicates Velocity shock that will inevitably hit UK. Addresses RQ1.</t>
  </si>
  <si>
    <t>EXT_BCG_007</t>
  </si>
  <si>
    <t>By 2029, spending on AI search ads in the US will reach $26 billion... approximately 14% of total search ad spending.</t>
  </si>
  <si>
    <t>Winning with Third-Party Agents</t>
  </si>
  <si>
    <t>AI_search_ad_spend_$26bn</t>
  </si>
  <si>
    <t>search_spend_share_14pct</t>
  </si>
  <si>
    <t>paid_media_evolution</t>
  </si>
  <si>
    <t>Quantifies financial shift in Environment (TOE). Retailers must prepare for higher customer acquisition costs as AI search monetizes. Addresses RQ3.</t>
  </si>
  <si>
    <t>EXT_BCG_008</t>
  </si>
  <si>
    <t>Agentic AI Redefines Consumer Journeys</t>
  </si>
  <si>
    <t>https://www.bcg.com/publications/2025/agentic-ai-redefines-consumer-journeys</t>
  </si>
  <si>
    <t>LLMs now directly influence up to 20% of purchasing decisions... Yet... only 10% of consumer goods and retail companies have successfully integrated AI agents across their teams.</t>
  </si>
  <si>
    <t>Why It Matters</t>
  </si>
  <si>
    <t>LLM_purchase_influence_20pct</t>
  </si>
  <si>
    <t>integration_rate_10pct</t>
  </si>
  <si>
    <t>adoption_gap</t>
  </si>
  <si>
    <t>CRITICAL: Highlights GenAI Divide specifically for agents: 20% influence vs 10% adoption. This gap represents primary risk/opportunity for 2026. Addresses RQ3.</t>
  </si>
  <si>
    <t>EXT_BCG_009</t>
  </si>
  <si>
    <t>Potential of AI to enhance value creation by as much as 800 basis points... Consumer goods companies taking full advantage of AI tend to set aside dedicated funding... typically allocating around 20% of IT budget.</t>
  </si>
  <si>
    <t>value_creation_800bps</t>
  </si>
  <si>
    <t>IT_budget_allocation_20pct</t>
  </si>
  <si>
    <t>investment_benchmark</t>
  </si>
  <si>
    <t>Consistent with 23% profitability claim in Accenture</t>
  </si>
  <si>
    <t>CRITICAL: Massive value potential (800bps = 8% margin impact). Provides specific benchmark for Resources (TOE): allocating 20% of IT budget is standard for leaders. Addresses RQ2.</t>
  </si>
  <si>
    <t>EXT_BCG_010</t>
  </si>
  <si>
    <t>Maximizing Value Potential from AI in 2025 - Procurement</t>
  </si>
  <si>
    <t>https://media-publications.bcg.com/BCG-Executive-Perspectives-Future-of-Procurement-with-AI-2025-27Feb2025.pdf</t>
  </si>
  <si>
    <t>AI and GenAI capabilities are already being deployed across the procurement value chain, and companies are seeing immediate impact (e.g., up to 15% savings depending on category...)</t>
  </si>
  <si>
    <t>p.3</t>
  </si>
  <si>
    <t>savings_potential_15pct</t>
  </si>
  <si>
    <t>procurement_value_chain</t>
  </si>
  <si>
    <t>immediate_impact</t>
  </si>
  <si>
    <t>Quantifies cost reduction potential in Source phase. Directly addresses RQ2. Addresses RQ2.</t>
  </si>
  <si>
    <t>EXT_BCG_011</t>
  </si>
  <si>
    <t>Reduction of headcount to 70% due to a shift from many analytics and operational roles to few strategic roles... 70% of operational resources freed through automation</t>
  </si>
  <si>
    <t>p.12</t>
  </si>
  <si>
    <t>headcount_reduction_30pct</t>
  </si>
  <si>
    <t>operational_resource_freed_70pct</t>
  </si>
  <si>
    <t>role_shift_strategic</t>
  </si>
  <si>
    <t>Compare with Accenture 40-50% working hours impact</t>
  </si>
  <si>
    <t>Evidence for RQ1 (Impact on labour). Predicts 30% reduction in headcount requirements for procurement. Addresses RQ1.</t>
  </si>
  <si>
    <t>EXT_BCG_012</t>
  </si>
  <si>
    <t>Eliminating ~90% manual spending data analysis efforts... ~85% time savings when writing supplier letters</t>
  </si>
  <si>
    <t>p.7</t>
  </si>
  <si>
    <t>manual_analysis_reduction_90pct</t>
  </si>
  <si>
    <t>admin_time_savings_85pct</t>
  </si>
  <si>
    <t>process_velocity</t>
  </si>
  <si>
    <t>Operational_Efficiency</t>
  </si>
  <si>
    <t>Quantifies Velocity improvements (RQ1). Spending data analysis is critical for replenishment. Addresses RQ1.</t>
  </si>
  <si>
    <t>EXT_BCG_013</t>
  </si>
  <si>
    <t>Unlocking the Value Potential of AI and GenAI Transformation: Supply Chains</t>
  </si>
  <si>
    <t>https://media-publications.bcg.com/BCG-Executive-Perspectives-Unlocking-Impact-from-AI-Supply-Chains-EP4-7Oct2024.pdf</t>
  </si>
  <si>
    <t>Working capital 15-30% Inventory reduction... Costs 10-20% Reduction in manufacturing, warehousing, and distribution costs</t>
  </si>
  <si>
    <t>p.4</t>
  </si>
  <si>
    <t>inventory_reduction_15-30pct</t>
  </si>
  <si>
    <t>logistics_cost_reduction_10-20pct</t>
  </si>
  <si>
    <t>working_capital_optimisation</t>
  </si>
  <si>
    <t>Consistent with Accenture margin improvement claims</t>
  </si>
  <si>
    <t>CRITICAL: Directly quantifies Inventory Management benefits (RQ2). Separates inventory vs operational costs. Addresses RQ2.</t>
  </si>
  <si>
    <t>EXT_BCG_014</t>
  </si>
  <si>
    <t>GenAI-aided processes reduce administrative and data reconciliation tasks by &gt;50%... GenAI-driven advanced analytics improve decision-making speed by &gt;30%</t>
  </si>
  <si>
    <t>p.6</t>
  </si>
  <si>
    <t>admin_task_reduction_50pct</t>
  </si>
  <si>
    <t>decision_speed_increase_30pct</t>
  </si>
  <si>
    <t>data_reconciliation_automation</t>
  </si>
  <si>
    <t>Quantifies Velocity impact (RQ1). Data reconciliation is major pain point in retail supply chains. Addresses RQ1.</t>
  </si>
  <si>
    <t>EXT_BCG_015</t>
  </si>
  <si>
    <t>Europe</t>
  </si>
  <si>
    <t>T2_UK_Applicable</t>
  </si>
  <si>
    <t>Leading Europe-based industrial goods company... Impact from underlying AI capability: &gt;2pp EBITDA increase year 2+... 3x Process cycle time reduction.</t>
  </si>
  <si>
    <t>p.9</t>
  </si>
  <si>
    <t>EBITDA_increase_2pp</t>
  </si>
  <si>
    <t>cycle_time_reduction_3x</t>
  </si>
  <si>
    <t>scenario_simulation_impact</t>
  </si>
  <si>
    <t>Matches 2pp margin improvement range cited in other reports</t>
  </si>
  <si>
    <t>European case study. Demonstrates financial impact of running complex scenarios (Simulation). Addresses RQ2.</t>
  </si>
  <si>
    <t>EXT_BCG_016</t>
  </si>
  <si>
    <t>Fragmentation and rapid tech evolution... The ecosystem has 450+ GenAI companies and counting... Many partner choices and models have no clear leaders</t>
  </si>
  <si>
    <t>p.16</t>
  </si>
  <si>
    <t>vendor_fragmentation_450+</t>
  </si>
  <si>
    <t>ecosystem_complexity</t>
  </si>
  <si>
    <t>partner_selection_risk</t>
  </si>
  <si>
    <t>Technical_Complexity</t>
  </si>
  <si>
    <t>Evidence for RQ3 (Challenges). High vendor fragmentation creates complexity for retailers. Addresses RQ3.</t>
  </si>
  <si>
    <t>EXT_DEL_001</t>
  </si>
  <si>
    <t>Deloitte</t>
  </si>
  <si>
    <t>Retail planning 2025</t>
  </si>
  <si>
    <t>https://www.deloitte.com/content/dam/assets-zone3/us/en/docs/services/consulting/2025/edit-rcp-pov_v03.pdf</t>
  </si>
  <si>
    <t>Retailers harnessing real-time data analytics can slash their inventory costs by up to 15% and increase their sales by up to 10%</t>
  </si>
  <si>
    <t>inventory_cost_reduction_15pct</t>
  </si>
  <si>
    <t>sales_increase_10pct</t>
  </si>
  <si>
    <t>real_time_analytics_impact</t>
  </si>
  <si>
    <t>Aligns with BCG 15-30% inventory reduction claim</t>
  </si>
  <si>
    <t>Quantifies financial impact of Velocity (real-time data). Directly addresses RQ2. Addresses RQ2.</t>
  </si>
  <si>
    <t>EXT_DEL_002</t>
  </si>
  <si>
    <t>AI-enabled supply chain management helps early adopters reduce logistics costs by 15%, inventory levels by 35%... as compared to slower-moving competitors</t>
  </si>
  <si>
    <t>inventory_level_reduction_35pct</t>
  </si>
  <si>
    <t>logistics_cost_reduction_15pct</t>
  </si>
  <si>
    <t>early_adopter_advantage</t>
  </si>
  <si>
    <t>Corroborates Accenture and Capgemini findings</t>
  </si>
  <si>
    <t>CRITICAL: Specific Inventory Level reduction metric (35%) attributable to AI. Addresses RQ2.</t>
  </si>
  <si>
    <t>EXT_DEL_003</t>
  </si>
  <si>
    <t>Companies implementing IoT in their cold chain operations have reported up to a 40% reduction in spoilage and waste (Source: Deloitte Insights).</t>
  </si>
  <si>
    <t>food_waste_reduction_40pct</t>
  </si>
  <si>
    <t>cold_chain_IoT</t>
  </si>
  <si>
    <t>spoilage_reduction</t>
  </si>
  <si>
    <t>Deloitte Insights</t>
  </si>
  <si>
    <t>CRITICAL: Directly addresses RQ2 (Waste reduction) in Cold Chain. 40% is significant for Sustainability. Addresses RQ2.</t>
  </si>
  <si>
    <t>EXT_DEL_004</t>
  </si>
  <si>
    <t>Item-level tagging, when implemented properly, can increase inventory accuracy from 63% to 95%</t>
  </si>
  <si>
    <t>inventory_accuracy_increase_63_to_95pct</t>
  </si>
  <si>
    <t>item_level_tagging</t>
  </si>
  <si>
    <t>visibility_improvement</t>
  </si>
  <si>
    <t>Widely cited industry benchmark</t>
  </si>
  <si>
    <t>CRITICAL: Quantifies Veracity (Accuracy) improvement. 63% to 95% jump is key argument for RFID/tagging. Addresses RQ1.</t>
  </si>
  <si>
    <t>EXT_DEL_005</t>
  </si>
  <si>
    <t>Digital freight marketplaces can reduce transportation costs by up to 15%-20% by optimizing route planning, reducing empty miles, and increasing load-matching efficiency</t>
  </si>
  <si>
    <t>transport_cost_reduction_15-20pct</t>
  </si>
  <si>
    <t>route_optimization</t>
  </si>
  <si>
    <t>load_matching_efficiency</t>
  </si>
  <si>
    <t>Matches general logic of Uberization of freight</t>
  </si>
  <si>
    <t>Addresses SCOR_Deliver and transport costs (RQ2). Relevant to food retail logistics. Addresses RQ2.</t>
  </si>
  <si>
    <t>EXT_DEL_006</t>
  </si>
  <si>
    <t>Global Powers of Retailing 2025</t>
  </si>
  <si>
    <t>https://www.deloitte.com/content/dam/assets-shared/docs/industries/consumer/2025/deloitte-global-powers-of-retailing-2025.pdf</t>
  </si>
  <si>
    <t>Retailers plan to automate up to 70% of routine store tasks by 2025... Automation in global retail is expected to reach approximately US$33 billion by 2030.</t>
  </si>
  <si>
    <t>p.20</t>
  </si>
  <si>
    <t>automation_target_70pct</t>
  </si>
  <si>
    <t>market_size_$33bn</t>
  </si>
  <si>
    <t>routine_task_automation</t>
  </si>
  <si>
    <t>Cites Verizon/Incisiv study</t>
  </si>
  <si>
    <t>Quantifies scale of automation adoption. Transferable to UK context where labour costs are high. Addresses RQ1.</t>
  </si>
  <si>
    <t>EXT_DEL_007</t>
  </si>
  <si>
    <t>Retailers leveraging AI and machine learning experienced a growth of about 250 percent in sales and profits in 2023... over 72% of retailers using AI had experienced a reduction in operating costs.</t>
  </si>
  <si>
    <t>p.23</t>
  </si>
  <si>
    <t>AI_sales_profit_growth_250pct</t>
  </si>
  <si>
    <t>operating_cost_reduction_72pct_adoption</t>
  </si>
  <si>
    <t>Cites IHL Group 2023 study</t>
  </si>
  <si>
    <t>Strong evidence linking AI to financial performance. 250% figure should be framed carefully. Addresses RQ2.</t>
  </si>
  <si>
    <t>EXT_DEL_008</t>
  </si>
  <si>
    <t>The newly-launched Sequoia robotics system speeds up inventory identification and storage by up to 75% and reduces order processing time by up to 25%.</t>
  </si>
  <si>
    <t>p.11</t>
  </si>
  <si>
    <t>inventory_id_speed_75pct</t>
  </si>
  <si>
    <t>processing_time_reduction_25pct</t>
  </si>
  <si>
    <t>robotics_efficiency</t>
  </si>
  <si>
    <t>Amazon public press releases</t>
  </si>
  <si>
    <t>Specific metric for robotics in inventory management. Relevant to RQ1 and RQ2. Addresses RQ1.</t>
  </si>
  <si>
    <t>EXT_DEL_009</t>
  </si>
  <si>
    <t>A perpetual pharmacy inventory system was rolled out... providing full inventory visibility, reducing excess stock, and freeing up working capital... expected to save over US$1 billion in FY2024.</t>
  </si>
  <si>
    <t>inventory_system_savings_$1bn</t>
  </si>
  <si>
    <t>working_capital_release</t>
  </si>
  <si>
    <t>excess_stock_reduction</t>
  </si>
  <si>
    <t>WBA Annual Reports</t>
  </si>
  <si>
    <t>CRITICAL: Massive financial metric ($1bn). WBA owns Boots (UK), highly relevant. Addresses RQ2.</t>
  </si>
  <si>
    <t>EXT_DEL_010</t>
  </si>
  <si>
    <t>Tesco PLC... Retail Revenue FY2023: US$85,218m... Revenue Growth: 4.2%... Net Profit Margin: 1.7%.</t>
  </si>
  <si>
    <t>p.33</t>
  </si>
  <si>
    <t>Tesco_revenue_$85.2bn</t>
  </si>
  <si>
    <t>Tesco_growth_4.2pct</t>
  </si>
  <si>
    <t>Tesco_margin_1.7pct</t>
  </si>
  <si>
    <t>Tesco Annual Report 2024/25</t>
  </si>
  <si>
    <t>Baseline performance data for UK market leader. Low margin (1.7%) highlights efficiency pressure. Addresses RQ3.</t>
  </si>
  <si>
    <t>EXT_DEL_011</t>
  </si>
  <si>
    <t>Sainsbury's plc... Retail Revenue FY2023: US$40,580m... Revenue Growth: 3.6%... Net Profit Margin: 0.4%.</t>
  </si>
  <si>
    <t>p.34</t>
  </si>
  <si>
    <t>Sainsburys_margin_0.4pct</t>
  </si>
  <si>
    <t>profitability_pressure</t>
  </si>
  <si>
    <t>market_position_UK</t>
  </si>
  <si>
    <t>Sainsbury's Annual Report</t>
  </si>
  <si>
    <t>CRITICAL: Extremely thin margin (0.4%) provides compelling justification for cost-reduction technologies. Addresses RQ3.</t>
  </si>
  <si>
    <t>EXT_DEL_012</t>
  </si>
  <si>
    <t>Marks and Spencer Group plc... Revenue Growth: 9.4%... Net Profit Margin: 3.2%.</t>
  </si>
  <si>
    <t>p.37</t>
  </si>
  <si>
    <t>M&amp;S_growth_9.4pct</t>
  </si>
  <si>
    <t>M&amp;S_margin_3.2pct</t>
  </si>
  <si>
    <t>turnaround_success</t>
  </si>
  <si>
    <t>M&amp;S Annual Report</t>
  </si>
  <si>
    <t>M&amp;S showing strong growth compared to grocers, likely due to Reshape for Growth strategy. Addresses RQ3.</t>
  </si>
  <si>
    <t>EXT_DEL_013</t>
  </si>
  <si>
    <t>The company [Aldi] planned to open 35 new stores in the UK in FY2024... invest US$607 million in 2024, enhancing its infrastructure and expanding its reach.</t>
  </si>
  <si>
    <t>p.17</t>
  </si>
  <si>
    <t>Aldi_UK_investment_$607m</t>
  </si>
  <si>
    <t>infrastructure_expansion</t>
  </si>
  <si>
    <t>store_opening_target_35</t>
  </si>
  <si>
    <t>Aldi UK Press Releases</t>
  </si>
  <si>
    <t>CRITICAL: Quantifies competitive pressure in UK ($607m investment). Infrastructure investment supports supply chain. Addresses RQ3.</t>
  </si>
  <si>
    <t>EXT_MCK_001</t>
  </si>
  <si>
    <t>McKinsey &amp; Company</t>
  </si>
  <si>
    <t>From blueprint to breakthrough: How AI and automation can transform the consumer enterprise</t>
  </si>
  <si>
    <t>https://www.mckinsey.com/industries/consumer-packaged-goods/our-insights/from-blueprint-to-breakthrough</t>
  </si>
  <si>
    <t>Comparative</t>
  </si>
  <si>
    <t>consumer-packaged-goods (CPG) and retail companies that lead in digital and AI are already showing three times greater total shareholder returns compared with their peers in the sector.</t>
  </si>
  <si>
    <t>p.2</t>
  </si>
  <si>
    <t>shareholder_returns_3x</t>
  </si>
  <si>
    <t>digital_leadership_advantage</t>
  </si>
  <si>
    <t>financial_outperformance</t>
  </si>
  <si>
    <t>Correlates with Accenture profitability findings</t>
  </si>
  <si>
    <t>CRITICAL: Strong financial justification for AI investment. 3x shareholder returns. Addresses RQ2.</t>
  </si>
  <si>
    <t>EXT_MCK_002</t>
  </si>
  <si>
    <t>And that task, which today could take up to two or three weeks to complete, will more likely take as little as two to three hours (if not fewer) using these new tools.</t>
  </si>
  <si>
    <t>task_time_reduction_98pct</t>
  </si>
  <si>
    <t>stock_adjustment_efficiency</t>
  </si>
  <si>
    <t>merchandising_automation</t>
  </si>
  <si>
    <t>Consistent with Capgemini ESL time reduction</t>
  </si>
  <si>
    <t>CRITICAL: Quantifies massive shift in Velocity for stock adjustments. Weeks to hours. Addresses RQ1.</t>
  </si>
  <si>
    <t>EXT_MCK_003</t>
  </si>
  <si>
    <t>We estimate that by 2030, about 30 to 35 percent of all current activities across consumer functions could be automated, helping to improve workers' productivity while adding value to the organization.</t>
  </si>
  <si>
    <t>activity_automation_30-35pct</t>
  </si>
  <si>
    <t>workforce_productivity</t>
  </si>
  <si>
    <t>consumer_function_automation</t>
  </si>
  <si>
    <t>Aligns with Accenture 40% working hours</t>
  </si>
  <si>
    <t>General automation forecast. Highly transferable to UK retail. Addresses RQ1.</t>
  </si>
  <si>
    <t>EXT_MCK_004</t>
  </si>
  <si>
    <t>Harnessing the power of AI in distribution operations</t>
  </si>
  <si>
    <t>https://www.mckinsey.com/industries/industrials/our-insights/distribution-blog/harnessing-the-power-of-ai-in-distribution-operations</t>
  </si>
  <si>
    <t>Traditionally, category reviews by distributors achieve reductions in cost of goods sold of 2 to 5 percent. This year, we have seen companies achieve savings of up to 20 percent in selected categories, leading to margin improvements of 50 to 150 basis points when executed at scale.</t>
  </si>
  <si>
    <t>p.51</t>
  </si>
  <si>
    <t>COGS_reduction_20pct</t>
  </si>
  <si>
    <t>margin_improvement_50-150bps</t>
  </si>
  <si>
    <t>category_management_savings</t>
  </si>
  <si>
    <t>Corroborates BCG procurement savings claims</t>
  </si>
  <si>
    <t>CRITICAL: Quantifies impact of AI-driven category reviews. 50-150bps margin improvement is critical. Addresses RQ2.</t>
  </si>
  <si>
    <t>EXT_MCK_005</t>
  </si>
  <si>
    <t>LLM to ROI: How to scale gen AI in retail</t>
  </si>
  <si>
    <t>https://www.mckinsey.com/industries/retail/our-insights/llm-to-roi-how-to-scale-gen-ai-in-retail</t>
  </si>
  <si>
    <t>gen AI is poised to unlock between $240 billion to $390 billion in economic value for retailers, equivalent to a margin increase across the industry of 1.2 to 1.9 percentage points.</t>
  </si>
  <si>
    <t>economic_value_$240-390bn</t>
  </si>
  <si>
    <t>margin_increase_1.2-1.9pp</t>
  </si>
  <si>
    <t>industry_wide_impact</t>
  </si>
  <si>
    <t>Aligns with Accenture and BCG findings</t>
  </si>
  <si>
    <t>CRITICAL: Establishing macro-economic Value. 1.2-1.9pp margin increase is key benchmark. Addresses RQ2.</t>
  </si>
  <si>
    <t>EXT_MCK_006</t>
  </si>
  <si>
    <t>In retail, even a 1 percent margin of error could result in millions of customer-facing mistakes. This emphasizes the importance of strong gen AI risk guidelines and safety testing.</t>
  </si>
  <si>
    <t>p.10</t>
  </si>
  <si>
    <t>margin_of_error_risk_1pct</t>
  </si>
  <si>
    <t>customer_facing_risk</t>
  </si>
  <si>
    <t>safety_testing_necessity</t>
  </si>
  <si>
    <t>Corroborates Capgemini data accuracy barriers</t>
  </si>
  <si>
    <t>Highlights Veracity challenge. Small error rate scales to massive risk in retail. Addresses RQ3.</t>
  </si>
  <si>
    <t>EXT_MCK_007</t>
  </si>
  <si>
    <t>The State of Grocery Retail 2025: Europe</t>
  </si>
  <si>
    <t>https://www.mckinsey.com/industries/retail/our-insights/state-of-grocery-europe-report</t>
  </si>
  <si>
    <t>2024 was a year of mixed emotions for European grocers. Volume grew again, albeit slowly... AI has been creating value for some grocers. Now, looking ahead to 2025, cost pressure remains high... and many shoppers are still cautious as economic pressure persists.</t>
  </si>
  <si>
    <t>cost_pressure_high</t>
  </si>
  <si>
    <t>AI_value_creation</t>
  </si>
  <si>
    <t>shopper_caution</t>
  </si>
  <si>
    <t>Aligns with Accenture Navigating Headwinds</t>
  </si>
  <si>
    <t>Sets macro-economic scene (Environment). Cost pressure justifies efficiency technologies. Addresses RQ3.</t>
  </si>
  <si>
    <t>EXT_MCK_008</t>
  </si>
  <si>
    <t>Retail media... remains one of the fastest-growing and most profitable parts of the grocery value chain, with EBIT margins typically ranging from 70 to 90 percent.</t>
  </si>
  <si>
    <t>p.15</t>
  </si>
  <si>
    <t>retail_media_margin_70-90pct</t>
  </si>
  <si>
    <t>profitability_driver</t>
  </si>
  <si>
    <t>value_chain_diversification</t>
  </si>
  <si>
    <t>Corroborates Capgemini on Kroger profit</t>
  </si>
  <si>
    <t>CRITICAL: Data monetisation margins (70-90%) contrast sharply with core retail margins (1-4%). Addresses RQ2.</t>
  </si>
  <si>
    <t>EXT_MCK_009</t>
  </si>
  <si>
    <t>The state of AI in 2025: Agents, innovation, and transformation</t>
  </si>
  <si>
    <t>https://www.mckinsey.com/business-functions/quantumblack/our-insights/the-state-of-ai</t>
  </si>
  <si>
    <t>Most organizations are still in the experimentation or piloting phase: Nearly two-thirds of respondents say their organizations have not yet begun scaling AI across the enterprise.</t>
  </si>
  <si>
    <t>scaling_barrier_66pct</t>
  </si>
  <si>
    <t>pilot_trap</t>
  </si>
  <si>
    <t>enterprise_adoption_lag</t>
  </si>
  <si>
    <t>Consistent with Accenture integration risks</t>
  </si>
  <si>
    <t>CRITICAL: Addresses RQ3 (Challenges). Scaling is primary hurdle - 66% not scaling yet. Pilot Purgatory confirmed. Addresses RQ3.</t>
  </si>
  <si>
    <t>EXT_MCK_010</t>
  </si>
  <si>
    <t>Sixty-two percent of survey respondents say their organizations are at least experimenting with AI agents.</t>
  </si>
  <si>
    <t>AI_agent_experimentation_62pct</t>
  </si>
  <si>
    <t>agentic_AI_adoption</t>
  </si>
  <si>
    <t>emerging_tech</t>
  </si>
  <si>
    <t>Corroborates Accenture focus on Agentic AI</t>
  </si>
  <si>
    <t>Identifies AI Agents as key emerging technology (RQ1). High experimentation rate (62%). Addresses RQ1.</t>
  </si>
  <si>
    <t>EXT_MCK_011</t>
  </si>
  <si>
    <t>Respondents report use-case level cost and revenue benefits... However, just 39 percent report EBIT impact at the enterprise level.</t>
  </si>
  <si>
    <t>EBIT_impact_realisation_39pct</t>
  </si>
  <si>
    <t>ROI_gap</t>
  </si>
  <si>
    <t>enterprise_value_challenge</t>
  </si>
  <si>
    <t>Contrasts with high potential values cited elsewhere</t>
  </si>
  <si>
    <t>CRITICAL counter-narrative for RQ2. Highlights implementation gap - only 39% seeing enterprise EBIT impact. Addresses RQ3.</t>
  </si>
  <si>
    <t>EXT_MCK_012</t>
  </si>
  <si>
    <t>Eighty percent of respondents say their companies set efficiency as an objective of their AI initiatives...</t>
  </si>
  <si>
    <t>efficiency_objective_80pct</t>
  </si>
  <si>
    <t>strategic_priorities</t>
  </si>
  <si>
    <t>cost_focus</t>
  </si>
  <si>
    <t>Confirms Efficiency is primary driver for AI adoption (RQ1/RQ2). 80% cite this objective. Addresses RQ1.</t>
  </si>
  <si>
    <t>EXT_MIT_001</t>
  </si>
  <si>
    <t>Academic</t>
  </si>
  <si>
    <t>Project Nanda (MIT)</t>
  </si>
  <si>
    <t>State of AI in Business 2025: The GenAI Divide</t>
  </si>
  <si>
    <t>https://mlq.ai/media/quarterly_decks/v0.1_State_of_AI_in_Business_2025_Report.pdf</t>
  </si>
  <si>
    <t>Despite $30-40 billion in enterprise investment into GenAI, this report uncovers a stark reality: high adoption has not translated to high transformation.</t>
  </si>
  <si>
    <t>investment_vs_transformation_gap</t>
  </si>
  <si>
    <t>investment_volume_$30-40bn</t>
  </si>
  <si>
    <t>adoption_efficacy</t>
  </si>
  <si>
    <t>Aligns with McKinsey gap findings</t>
  </si>
  <si>
    <t>CRITICAL: Highlights Value gap despite massive investment ($30-40bn). Academic source adds credibility. Addresses RQ3.</t>
  </si>
  <si>
    <t>EXT_CAP_016</t>
  </si>
  <si>
    <t>Capgemini</t>
  </si>
  <si>
    <t>Grocery trends: Transforming the store</t>
  </si>
  <si>
    <t>https://www.capgemini.com/wp-content/uploads/2025/04/CPR_Grocery-Trends_2025_PoV.pdf</t>
  </si>
  <si>
    <t>In an early deployment, the retailer found that ESLs have drastically reduced the time required for price changes-from two days to just two minutes-allowing employees to focus more on customer-facing tasks.</t>
  </si>
  <si>
    <t>price_change_time_reduction_99pct</t>
  </si>
  <si>
    <t>electronic_shelf_labels</t>
  </si>
  <si>
    <t>labour_reallocation</t>
  </si>
  <si>
    <t>Consistent with Walmart public statements</t>
  </si>
  <si>
    <t>CRITICAL: Quantifies Velocity benefit of ESLs. 'Two days to two minutes' is powerful efficiency metric. Addresses RQ1.</t>
  </si>
  <si>
    <t>EXT_CAP_017</t>
  </si>
  <si>
    <t>UK: The Food Information (Amendment) (England) Regulations 2019, 'Natasha's Law' This UK Food safety regulation came into effect in 2021 and requires all food businesses to provide full ingredient lists and allergen labeling on pre-packed for direct sale (PPDS) foods.</t>
  </si>
  <si>
    <t>p.5</t>
  </si>
  <si>
    <t>Natashas_Law_compliance</t>
  </si>
  <si>
    <t>traceability_regulation</t>
  </si>
  <si>
    <t>ingredient_labeling_mandate</t>
  </si>
  <si>
    <t>UK Government legislation archives</t>
  </si>
  <si>
    <t>CRITICAL: Specific UK regulatory driver for traceability technology adoption (TOE Environment). Addresses RQ3.</t>
  </si>
  <si>
    <t>EXT_CAP_018</t>
  </si>
  <si>
    <t>Tally makes its rounds several times a day, using computer vision and AI-enabled analytics to monitor shelves... the retailer estimates that stores save 30 hours per week, redeploying employees to focus on higher-value, customer-facing tasks.</t>
  </si>
  <si>
    <t>labour_saving_30hrs_week</t>
  </si>
  <si>
    <t>shelf_monitoring_robotics</t>
  </si>
  <si>
    <t>computer_vision_analytics</t>
  </si>
  <si>
    <t>Simbe Robotics (Tally) case studies</t>
  </si>
  <si>
    <t>Quantifies impact of robotics/AI on store operations (30 hours/week savings). Addresses RQ1.</t>
  </si>
  <si>
    <t>EXT_CAP_019</t>
  </si>
  <si>
    <t>For example, Kroger reported $1.3 billion in operating profit in 2023 from its alternative profit businesses, including its retail media network... These gains were driven, in part, from the grocer's 2023 partnership with Cooler Screen...</t>
  </si>
  <si>
    <t>alternative_profit_$1.3bn</t>
  </si>
  <si>
    <t>retail_media_monetisation</t>
  </si>
  <si>
    <t>digital_smart_screens</t>
  </si>
  <si>
    <t>Kroger Annual Reports</t>
  </si>
  <si>
    <t>CRITICAL: Demonstrates Value of data monetisation ($1.3bn). Benchmarks potential for UK retailers (Tesco Media, Nectar360). Addresses RQ2.</t>
  </si>
  <si>
    <t>EXT_CAP_020</t>
  </si>
  <si>
    <t>New-generation supply chain: Connecting the links to reach common goals (Full Report)</t>
  </si>
  <si>
    <t>https://www.capgemini.com/wp-content/uploads/2025/09/CRI_Next-Gen-Supply-Chain_7th-draft_18092025.pdf</t>
  </si>
  <si>
    <t>61% still agree that their organizations have effectively lowered supply chain operational cost. Process automation through AI... enhanced inventory management... are some of the favored initiatives.</t>
  </si>
  <si>
    <t>operational_cost_reduction_61pct</t>
  </si>
  <si>
    <t>inventory_management_initiative</t>
  </si>
  <si>
    <t>process_automation</t>
  </si>
  <si>
    <t>Corroborates BCG findings on cost reduction</t>
  </si>
  <si>
    <t>Links enhanced inventory management directly to operational cost reduction. Survey includes UK. Addresses RQ2.</t>
  </si>
  <si>
    <t>EXT_CAP_021</t>
  </si>
  <si>
    <t>61% [of executives agree] Gen AI helps us predict demand fluctuations and optimize inventory levels... 51% [agree] Gen AI identifies and mitigates bottlenecks within the supply chain</t>
  </si>
  <si>
    <t>p.40</t>
  </si>
  <si>
    <t>demand_prediction_improvement_61pct</t>
  </si>
  <si>
    <t>inventory_level_optimisation</t>
  </si>
  <si>
    <t>bottleneck_mitigation_51pct</t>
  </si>
  <si>
    <t>CRITICAL: Explicitly connects Gen AI to Demand Forecasting and Inventory Levels. Addresses RQ1.</t>
  </si>
  <si>
    <t>EXT_CAP_022</t>
  </si>
  <si>
    <t>As many as 74% of organizations say it is difficult to ensure accuracy of data at the point of decision for AI agents. While Tier 1 suppliers may have good data availability, this availability goes down with Tier 2 and below.</t>
  </si>
  <si>
    <t>p.59</t>
  </si>
  <si>
    <t>data_accuracy_barrier_74pct</t>
  </si>
  <si>
    <t>multi_tier_visibility_gap</t>
  </si>
  <si>
    <t>AI_decision_quality</t>
  </si>
  <si>
    <t>Corroborates Accenture finding on inadequate data formats</t>
  </si>
  <si>
    <t>CRITICAL: Strong evidence for Challenges (TH_03) and Veracity issues in 5Vs. 74% struggle with data accuracy. Addresses RQ3.</t>
  </si>
  <si>
    <t>EXT_CAP_023</t>
  </si>
  <si>
    <t>Percentage of improvement expected/realized... Improved cost efficiencies / decrease in operational cost: 15.9%... Faster delivery: 16.5%... Improved decision-making capabilities: 14.8%</t>
  </si>
  <si>
    <t>p.38</t>
  </si>
  <si>
    <t>operational_cost_decrease_15.9pct</t>
  </si>
  <si>
    <t>delivery_speed_increase_16.5pct</t>
  </si>
  <si>
    <t>decision_making_improvement_14.8pct</t>
  </si>
  <si>
    <t>Aligns with BCG 10-20% cost reduction estimate</t>
  </si>
  <si>
    <t>Quantifies ROI of AI Agents in supply chain. Useful for triangulation. Addresses RQ2.</t>
  </si>
  <si>
    <t>EXT_FT_ASD_001</t>
  </si>
  <si>
    <t>News</t>
  </si>
  <si>
    <t>Asda Group / Financial Times</t>
  </si>
  <si>
    <t>Asda raises almost £600mn in supermarket sell-off</t>
  </si>
  <si>
    <t>https://www.ft.com/content/79ed1bc1-2a1d-40f9-8f61-88c8413fe233</t>
  </si>
  <si>
    <t>Asda has now completed the highly disruptive project of disentangling its IT systems from Walmart's. The cost of that project contributed to a near-£600mn pre-tax loss last year.</t>
  </si>
  <si>
    <t>p. 3</t>
  </si>
  <si>
    <t>IT_disentanglement_disruption</t>
  </si>
  <si>
    <t>£600mn_pre_tax_loss</t>
  </si>
  <si>
    <t>legacy_system_separation</t>
  </si>
  <si>
    <t>Corroborates Dissertation v3 (Source 58)</t>
  </si>
  <si>
    <t>CRITICAL: Organizational barrier. Resources consumed by replacing legacy infra vs innovation. £600mn loss from IT project. Addresses RQ3.</t>
  </si>
  <si>
    <t>EXT_FT_ASD_002</t>
  </si>
  <si>
    <t>Asda's market share has continued to slide, falling to 11.6 per cent, the lowest level since researcher Kantar began tracking the sector in 2011.</t>
  </si>
  <si>
    <t>market_share_11.6pct</t>
  </si>
  <si>
    <t>historical_low</t>
  </si>
  <si>
    <t>competitive_decline</t>
  </si>
  <si>
    <t>Consistent with Kantar data</t>
  </si>
  <si>
    <t>CRITICAL: Env pressure. 11.6% share validates 'market structural transformation'. Lowest since 2011. Addresses RQ1/RQ3.</t>
  </si>
  <si>
    <t>EXT_FT_ASD_003</t>
  </si>
  <si>
    <t>Asda also has £3.8bn in lease liabilities and its total interest bill was £611mn last year, up £170mn compared with 2023.</t>
  </si>
  <si>
    <t>interest_bill_£611mn</t>
  </si>
  <si>
    <t>lease_liabilities_£3.8bn</t>
  </si>
  <si>
    <t>debt_service_cost</t>
  </si>
  <si>
    <t>Implementation_Cost</t>
  </si>
  <si>
    <t>Org constraint. Debt servicing (£611mn interest) reduces 'slack resources' for Big Data R&amp;D. Addresses RQ3.</t>
  </si>
  <si>
    <t>EXT_FT_ASD_004</t>
  </si>
  <si>
    <t>Asda turnaround derailed by bungled £1bn IT overhaul</t>
  </si>
  <si>
    <t>https://www.ft.com/content/036df634-a230-4c99-8cd5-03bb27e1da57</t>
  </si>
  <si>
    <t>The effort, termed 'Project Future', has been beset by delays, disruption and ballooning costs that have surpassed £1bn... described the IT issues as 'totally self-inflicted'...</t>
  </si>
  <si>
    <t>project_future_cost_&gt;£1bn</t>
  </si>
  <si>
    <t>poor_integration_testing</t>
  </si>
  <si>
    <t>self_inflicted_failure</t>
  </si>
  <si>
    <t>Grocery Gazette (2025)</t>
  </si>
  <si>
    <t>CRITICAL: Evidence of 'Implementation Cost' barrier. £1bn+ spend on replacement, not innovation. 'Self-inflicted' failure. Addresses RQ3.</t>
  </si>
  <si>
    <t>EXT_FT_ASD_005</t>
  </si>
  <si>
    <t>The disruption contributed to a 2.8 per cent drop in Asda's like-for-like sales in the third quarter... completion of a huge multiyear project... resulted in a shortage of groceries...</t>
  </si>
  <si>
    <t>p.1-2</t>
  </si>
  <si>
    <t>sales_drop_2.8pct</t>
  </si>
  <si>
    <t>inventory_shortage</t>
  </si>
  <si>
    <t>stock_availability_failure</t>
  </si>
  <si>
    <t>Retail Gazette (2025)</t>
  </si>
  <si>
    <t>CRITICAL: Negative impact case. Tech transition failure caused shortages and 2.8% sales loss. Addresses RQ1.</t>
  </si>
  <si>
    <t>EXT_FT_ASD_006</t>
  </si>
  <si>
    <t>However, asset writedowns and costs associated with Project Future pushed it to a £599mn pre-tax loss. Fitch this week downgraded Asda's debt another notch... into 'junk' territory.</t>
  </si>
  <si>
    <t>pre_tax_loss_£599mn</t>
  </si>
  <si>
    <t>credit_rating_downgrade_B</t>
  </si>
  <si>
    <t>asset_writedowns</t>
  </si>
  <si>
    <t>S&amp;P Global (2025)</t>
  </si>
  <si>
    <t>CRITICAL: Financial barrier. Failed implementation caused loss/downgrade to 'junk' status, increasing capital cost. Addresses RQ3.</t>
  </si>
  <si>
    <t>EXT_ECO_001</t>
  </si>
  <si>
    <t>The Economist / ONS</t>
  </si>
  <si>
    <t>Britain's rising food prices are a political headache</t>
  </si>
  <si>
    <t>https://www.economist.com/britain/2025/09/17/britains-rising-food-prices-are-a-political-headache</t>
  </si>
  <si>
    <t>The big chains all have operating margins of 2-4%. Lidl and Aldi have spent years making even lower margins to build market share.</t>
  </si>
  <si>
    <t>operating_margins_2-4pct</t>
  </si>
  <si>
    <t>low_margin_strategy</t>
  </si>
  <si>
    <t>market_share_competition</t>
  </si>
  <si>
    <t>CMA (2024) margin data</t>
  </si>
  <si>
    <t>CRITICAL: Env constraint. Thin margins (2-4%) drive need for cost reduction via BD. Discounters accept even lower margins. Addresses RQ1/RQ3.</t>
  </si>
  <si>
    <t>EXT_ECO_002</t>
  </si>
  <si>
    <t>The Economist</t>
  </si>
  <si>
    <t>Supermarkets' premium ranges are doing best. Those in Tesco and Sainsbury's have grown by 15-20% a year for the past two years.</t>
  </si>
  <si>
    <t>premium_range_growth_15-20pct</t>
  </si>
  <si>
    <t>consumer_behaviour_shift</t>
  </si>
  <si>
    <t>dining_in_trend</t>
  </si>
  <si>
    <t>Consumer_Behaviour</t>
  </si>
  <si>
    <t>Sainsbury's 'Next Level' strategy</t>
  </si>
  <si>
    <t>Volume/Velocity challenge. Demand shifting to premium (15-20% growth) requires distinct forecasting models. Addresses RQ1.</t>
  </si>
  <si>
    <t>EXT_ECO_003</t>
  </si>
  <si>
    <t>Food-and-drink prices have risen by 37% in Britain in the past five years... In the past year food inflation has run at 5.3%.</t>
  </si>
  <si>
    <t>price_inflation_37pct_5yr</t>
  </si>
  <si>
    <t>food_inflation_5.3pct</t>
  </si>
  <si>
    <t>cost_of_living_pressure</t>
  </si>
  <si>
    <t>Inflation_Pressure</t>
  </si>
  <si>
    <t>ONS data</t>
  </si>
  <si>
    <t>CRITICAL: 37% 5-year price rise. Env pressure forces focus on price optimisation over availability. Addresses RQ2/RQ3.</t>
  </si>
  <si>
    <t>EXT_ECO_004</t>
  </si>
  <si>
    <t>The Economist / IoD</t>
  </si>
  <si>
    <t>British businesses say they are furious with the government</t>
  </si>
  <si>
    <t>https://www.economist.com/britain/2025/11/13/british-businesses-say-they-are-furious-with-the-government</t>
  </si>
  <si>
    <t>When the Institute of Directors polled its members in October, only 7% said they were optimistic about the economy over the next year; 80% were pessimistic.</t>
  </si>
  <si>
    <t>economic_pessimism_80pct</t>
  </si>
  <si>
    <t>optimism_7pct</t>
  </si>
  <si>
    <t>business_confidence_low</t>
  </si>
  <si>
    <t>IoD confidence index</t>
  </si>
  <si>
    <t>CRITICAL: 80% pessimism acts as barrier to strategic investment. Only 7% optimistic. Addresses RQ3.</t>
  </si>
  <si>
    <t>EXT_ECO_005</t>
  </si>
  <si>
    <t>The Economist / S&amp;P Global</t>
  </si>
  <si>
    <t>October's [S&amp;P composite purchasing managers'] index was 52.2, the sixth month in succession when the score has been over 50 (indicating expansion).</t>
  </si>
  <si>
    <t>PMI_index_52.2</t>
  </si>
  <si>
    <t>economic_expansion</t>
  </si>
  <si>
    <t>growth_resilience</t>
  </si>
  <si>
    <t>Enabler counter-narrative. Expansion (PMI&gt;50) suggests capacity for investment despite pessimism. Addresses RQ3.</t>
  </si>
  <si>
    <t>EXT_ECO_006</t>
  </si>
  <si>
    <t>The Economist / OECD</t>
  </si>
  <si>
    <t>Firms have underinvested for decades... British investment has lagged behind its peers' (see chart). [Chart displays UK investment at ~18% of GDP vs G7 average of ~23%].</t>
  </si>
  <si>
    <t>investment_lag_vs_G7</t>
  </si>
  <si>
    <t>investment_GDP_gap</t>
  </si>
  <si>
    <t>underinvestment_legacy</t>
  </si>
  <si>
    <t>ONS confirms UK investment ~18.2%</t>
  </si>
  <si>
    <t>CRITICAL: Structural barrier. Chronic underinvestment (18% vs 23% G7 average) explains legacy tech debt. Addresses RQ3.</t>
  </si>
  <si>
    <t>EXT_FT_OTH_001</t>
  </si>
  <si>
    <t>Financial Times / WWF-UK</t>
  </si>
  <si>
    <t>The food industry must face up to nature-related risk</t>
  </si>
  <si>
    <t>https://www.ft.com/content/5094f237-c21c-4b8a-8bc5-8e0a74912936</t>
  </si>
  <si>
    <t>This year's drought hit UK farmers hard, leading to the second-worst harvest on record... increased price volatility... in homegrown staples too, such as bread and pork...</t>
  </si>
  <si>
    <t>second_worst_harvest_record</t>
  </si>
  <si>
    <t>price_volatility_staples</t>
  </si>
  <si>
    <t>supply_risk_homegrown</t>
  </si>
  <si>
    <t>DEFRA/ONS agricultural stats</t>
  </si>
  <si>
    <t>CRITICAL: Velocity/Variety risk. 'Second-worst harvest' necessitates BD for dynamic sourcing. Climate risk. Addresses RQ1/RQ2.</t>
  </si>
  <si>
    <t>EXT_FT_OTH_002</t>
  </si>
  <si>
    <t>With less than five years to go until the 2030 target, WWF's latest report finds that 10 supermarkets, representing 90 per cent of the UK grocery market, are far off track...</t>
  </si>
  <si>
    <t>market_concentration_90pct</t>
  </si>
  <si>
    <t>sustainability_targets_off_track</t>
  </si>
  <si>
    <t>target_failure_risk</t>
  </si>
  <si>
    <t>Kantar market share data</t>
  </si>
  <si>
    <t>CRITICAL: Capabilities Gap. 90% share off-track implies insufficient tech application for sustainability resilience. Addresses RQ3.</t>
  </si>
  <si>
    <t>EXT_FT_OTH_003</t>
  </si>
  <si>
    <t>Financial Times / NBER</t>
  </si>
  <si>
    <t>Recent evidence from the Natural Bureau of Economic Research found that the share prices of companies most exposed to biodiversity risk underperformed those that are less exposed.</t>
  </si>
  <si>
    <t>biodiversity_risk_share_price</t>
  </si>
  <si>
    <t>financial_underperformance</t>
  </si>
  <si>
    <t>risk_exposure_cost</t>
  </si>
  <si>
    <t>Business Case. Financial link between biodiversity risk and share price drives ROI for BD risk analytics. Addresses RQ2/RQ3.</t>
  </si>
  <si>
    <t>Biodiversity risk and share prices - financial ESG, not inventory</t>
  </si>
  <si>
    <t>EXT_GAR_001</t>
  </si>
  <si>
    <t>Gartner</t>
  </si>
  <si>
    <t>Gartner Survey Finds 79% of Corporate Strategists See AI and Analytics as Critical to Their Success Over the Next Two Years</t>
  </si>
  <si>
    <t>https://www.gartner.com/en/newsroom/press-releases/2023-07-05-gartner-survey-finds-79-percent-of-corporate-strategists-see-ai-and-analytics-as-critical-to-their-success-over-the-next-two-years</t>
  </si>
  <si>
    <t>Multiple</t>
  </si>
  <si>
    <t>Seventy-nine percent of corporate strategists said that technologies such as analytics, artificial intelligence (AI) and automation will be critical to their success over the next two years... currently only 15% [of activities] are [automated].</t>
  </si>
  <si>
    <t>p.1 (Para 1-2)</t>
  </si>
  <si>
    <t>critical_success_factor_79pct</t>
  </si>
  <si>
    <t>automation_gap_15pct_actual</t>
  </si>
  <si>
    <t>strategic_planning_automation</t>
  </si>
  <si>
    <t>Leadership_Support</t>
  </si>
  <si>
    <t>Used in Dissertation Source 1 (p.8) to contextualise adoption</t>
  </si>
  <si>
    <t>CRITICAL: 79% see AI as critical but only 15% automated. Establishes high strategic priority vs. low current execution. Addresses RQ3.</t>
  </si>
  <si>
    <t>EXT_GAR_002</t>
  </si>
  <si>
    <t>Gartner Survey Finds 79% of Corporate Strategists See AI and Analytics as Critical</t>
  </si>
  <si>
    <t>While most corporate strategists said that they are using descriptive (72%) and diagnostic analytics (62%), less than half said they are using more advanced tools such as predictive (41%), prescriptive (26%) or graph analytics.</t>
  </si>
  <si>
    <t>p.1 (Para 4) &amp; p.2</t>
  </si>
  <si>
    <t>descriptive_analytics_72pct</t>
  </si>
  <si>
    <t>predictive_analytics_41pct</t>
  </si>
  <si>
    <t>prescriptive_analytics_26pct</t>
  </si>
  <si>
    <t>Directly populates Figure 2.2 in Dissertation Source 1</t>
  </si>
  <si>
    <t>CRITICAL: Analytics Maturity curve. Descriptive 72%, Diagnostic 62%, Predictive 41%, Prescriptive only 26%. Addresses RQ1.</t>
  </si>
  <si>
    <t>EXT_GAR_003</t>
  </si>
  <si>
    <t>Similarly, only 20% of strategists reported using AI-related tools, such as machine learning or natural language processing, for their function... For example, 51% said they are investigating machine learning.</t>
  </si>
  <si>
    <t>p.1 (Para 4)</t>
  </si>
  <si>
    <t>ML_adoption_20pct</t>
  </si>
  <si>
    <t>ML_investigation_51pct</t>
  </si>
  <si>
    <t>AI_tool_usage</t>
  </si>
  <si>
    <t>Aligns with 'nascent adoption' theme</t>
  </si>
  <si>
    <t>CRITICAL: Only 20% using ML but 51% investigating. Shows future growth potential. Addresses RQ1/RQ3.</t>
  </si>
  <si>
    <t>EXT_GAR_004</t>
  </si>
  <si>
    <t>One of the biggest obstacles to implementation is establishing a clear use case for new technologies. Fifty-two percent of strategists report that this is a top-three challenge.</t>
  </si>
  <si>
    <t>p.2 (Build a Use Case Strategy)</t>
  </si>
  <si>
    <t>barrier_clear_use_case_52pct</t>
  </si>
  <si>
    <t>implementation_obstacle</t>
  </si>
  <si>
    <t>strategy_uncertainty</t>
  </si>
  <si>
    <t>Validates 'organisational readiness' issues</t>
  </si>
  <si>
    <t>CRITICAL: 52% cite lack of clear use cases as top-3 challenge. Connects to 'Efficiency-Resilience Paradox'. Addresses RQ3.</t>
  </si>
  <si>
    <t>EXT_ECR_001</t>
  </si>
  <si>
    <t>ECR Retail Loss</t>
  </si>
  <si>
    <t>Grow sales by 4-8% by improving Inventory record accuracy</t>
  </si>
  <si>
    <t>https://www.ecrloss.com/research/grow-sales-by-improving-inventory-records</t>
  </si>
  <si>
    <t>Partial</t>
  </si>
  <si>
    <t>We find that about 60% of the SKUs analysed are affected by inventory record inaccuracies... The share of inaccurate stock records is higher for the grocery/general merchandise retailers (63.39%) than for the fashion/apparel ones (54.08%).</t>
  </si>
  <si>
    <t>p.1 (Abstract) &amp; p.16</t>
  </si>
  <si>
    <t>IRI_rate_60pct</t>
  </si>
  <si>
    <t>grocery_inaccuracy_63pct</t>
  </si>
  <si>
    <t>Corroborates KPMG (2024) finding on Asda's inventory issues</t>
  </si>
  <si>
    <t>CRITICAL: 60% of SKUs have inaccurate records. Grocery at 63%. Establishes baseline Veracity problem in 5Vs framework. Addresses RQ3.</t>
  </si>
  <si>
    <t>EXT_ECR_002</t>
  </si>
  <si>
    <t>Correcting inventory inaccuracies is found to lead to approximately 4% to 8% of increased sales... The benefit resulting from the stocktake is positive for all retailers... with an average of 5.98%.</t>
  </si>
  <si>
    <t>p.2 (Abstract) &amp; p.29</t>
  </si>
  <si>
    <t>sales_uplift_6pct</t>
  </si>
  <si>
    <t>ROI_inventory_accuracy</t>
  </si>
  <si>
    <t>value_of_veracity</t>
  </si>
  <si>
    <t>Supports business case for 'Information-based resilience'</t>
  </si>
  <si>
    <t>CRITICAL: 4-8% sales uplift (avg 5.98%) from fixing inventory accuracy. Quantifies Value of data accuracy. Addresses RQ2.</t>
  </si>
  <si>
    <t>EXT_ECR_003</t>
  </si>
  <si>
    <t>Negative inventory discrepancies play a more prominent role than positive ones, especially for grocery/general merchandise retailers where 38.52% of the SKUs were found to suffer from the former (compared to 24.87% suffering from the latter).</t>
  </si>
  <si>
    <t>p.19 (Section 3.2)</t>
  </si>
  <si>
    <t>negative_discrepancy_39pct</t>
  </si>
  <si>
    <t>phantom_inventory_risk</t>
  </si>
  <si>
    <t>grocery_shrinkage_link</t>
  </si>
  <si>
    <t>Aligns with 'Phantom Inventory' concept</t>
  </si>
  <si>
    <t>Differentiates Phantom Inventory (System says yes, Shelf says no - 38.5%) vs Hidden Inventory (24.9%). Addresses RQ2.</t>
  </si>
  <si>
    <t>EXT_ECR_004</t>
  </si>
  <si>
    <t>Unknown</t>
  </si>
  <si>
    <t>Inventory freezing describes a situation where stock records are positive displaying a stock level above the retailer's reorder point even though the physical quantity on hand is zero... resulting in a complete lack of point of sales (POS) signals.</t>
  </si>
  <si>
    <t>p.27 (Section 3.5)</t>
  </si>
  <si>
    <t>inventory_freezing</t>
  </si>
  <si>
    <t>replenishment_failure</t>
  </si>
  <si>
    <t>POS_signal_loss</t>
  </si>
  <si>
    <t>Explains why BD systems fail without physical verification</t>
  </si>
  <si>
    <t>CRITICAL: Defines 'Inventory Freezing' - technical failure mode that automated ordering cannot detect without external intervention. Addresses RQ3.</t>
  </si>
  <si>
    <t>EXT_ECR_005</t>
  </si>
  <si>
    <t>19.39% of the SKUs are fast movers (A items) generating 70.30% of sales. These SKUs are also responsible for 49.23% of the total inventory discrepancies (in value).</t>
  </si>
  <si>
    <t>p.22 (Section 3.4)</t>
  </si>
  <si>
    <t>Pareto_principle_inaccuracy</t>
  </si>
  <si>
    <t>fast_movers_risk</t>
  </si>
  <si>
    <t>high_value_discrepancy</t>
  </si>
  <si>
    <t>Validates Pareto approach to inventory management</t>
  </si>
  <si>
    <t>CRITICAL: Fast movers (19% SKUs) generate 70% sales but cause 49% of discrepancies. Pareto principle for BD focus. Addresses RQ1.</t>
  </si>
  <si>
    <t>EXT_SAV_001</t>
  </si>
  <si>
    <t>Savills</t>
  </si>
  <si>
    <t>Spotlight: UK Grocery Report - 2025</t>
  </si>
  <si>
    <t>https://www.savills.co.uk/research_articles/229130/379213-0</t>
  </si>
  <si>
    <t>The current market value of the food and grocery market stands at £195.3 billion, and is set to grow by 9.6% to £214 billion by 2028... margin pressures driven by inflation and aggressive occupational discounting have shifted operators' focus toward operational efficiency.</t>
  </si>
  <si>
    <t>p.9 &amp; p.23</t>
  </si>
  <si>
    <t>market_value_£195.3bn</t>
  </si>
  <si>
    <t>margin_pressure</t>
  </si>
  <si>
    <t>Aligns with Mintel (2025) market value</t>
  </si>
  <si>
    <t>CRITICAL: £195.3bn market, growing to £214bn by 2028. Margin pressure driving efficiency need. Addresses RQ2.</t>
  </si>
  <si>
    <t>EXT_SAV_002</t>
  </si>
  <si>
    <t>Asda has struggled of late... notably a £378 million impairment charge and £310 million invested in its 'Project Future' IT overhaul... Asda's market share has dropped to a historic low of 12.1%... making it the only major grocer to post a sales decline of 3.2%.</t>
  </si>
  <si>
    <t>p.13</t>
  </si>
  <si>
    <t>project_future_cost_£310m</t>
  </si>
  <si>
    <t>IT_overhaul_impairment</t>
  </si>
  <si>
    <t>market_share_loss</t>
  </si>
  <si>
    <t>Corroborates 'self-inflicted IT failure'</t>
  </si>
  <si>
    <t>CRITICAL: Key evidence for RQ3. £378m impairment + £310m IT spend. Only major grocer with -3.2% sales decline. Addresses RQ3.</t>
  </si>
  <si>
    <t>EXT_SAV_003</t>
  </si>
  <si>
    <t>Tesco's Whoosh... operates in over 1,500 stores... sales nearly double YoY. The strategy focuses on expanding product range up to 15,000 items in larger stores... integrated into Tesco's broader omnichannel ecosystem.</t>
  </si>
  <si>
    <t>p.22 (Rapid delivery growth)</t>
  </si>
  <si>
    <t>whoosh_1500_stores</t>
  </si>
  <si>
    <t>sales_double_YoY</t>
  </si>
  <si>
    <t>omnichannel_integration</t>
  </si>
  <si>
    <t>Consistent with Tesco Annual Report data on digital growth</t>
  </si>
  <si>
    <t>Evidence for RQ1 (Technologies). Whoosh in 1,500+ stores, sales doubled YoY, 15,000 items range. Addresses RQ1.</t>
  </si>
  <si>
    <t>EXT_SAV_004</t>
  </si>
  <si>
    <t>UK online food and grocery sales rose by 3.7% to £19.6 billion in 2023, yet market penetration declined by 0.4 percentage points to 10.3%... due to higher fulfilment costs and limited control over product quality.</t>
  </si>
  <si>
    <t>p.19</t>
  </si>
  <si>
    <t>online_sales_£19.6bn</t>
  </si>
  <si>
    <t>penetration_10.3pct</t>
  </si>
  <si>
    <t>fulfilment_cost_barrier</t>
  </si>
  <si>
    <t>Provides baseline for online/digital maturity</t>
  </si>
  <si>
    <t>CRITICAL: Online grocery ceiling at 10.3% despite £19.6bn sales. Fulfilment costs barrier. Reinforces hybrid data strategy need. Addresses RQ3.</t>
  </si>
  <si>
    <t>EXT_SAV_005</t>
  </si>
  <si>
    <t>Aldi now holds 11.1% of the UK grocery market... Lidl, meanwhile, has reached 8.1% market share... Both brands are indeed particularly savvy when it comes to their data-led store opening approach.</t>
  </si>
  <si>
    <t>p.14 (Discount operators)</t>
  </si>
  <si>
    <t>Aldi_share_11.1pct</t>
  </si>
  <si>
    <t>Lidl_share_8.1pct</t>
  </si>
  <si>
    <t>data_led_expansion</t>
  </si>
  <si>
    <t>Discounter_Pressure</t>
  </si>
  <si>
    <t>Matches Kantar data cited in Introduction</t>
  </si>
  <si>
    <t>CRITICAL: Discounters combined 19.2% (Aldi 11.1% + Lidl 8.1%). Both use 'data-led' expansion. Addresses RQ1/RQ3.</t>
  </si>
  <si>
    <t>EXT_REL_001</t>
  </si>
  <si>
    <t>Vendor</t>
  </si>
  <si>
    <t>RELEX Solutions</t>
  </si>
  <si>
    <t>Solving the $400 billion retail inventory accuracy problem</t>
  </si>
  <si>
    <t>https://www.relexsolutions.com/resources/solving-retails-400-billion-accuracy-problem/</t>
  </si>
  <si>
    <t>Up to 60% of retailers' inventory records are inaccurate... this inventory chaos is costing the retail industry a staggering $400 billion in lost revenue every year.</t>
  </si>
  <si>
    <t>p.1 (Intro)</t>
  </si>
  <si>
    <t>global_revenue_loss_$400bn</t>
  </si>
  <si>
    <t>inventory_chaos</t>
  </si>
  <si>
    <t>Matches ECR Retail Loss (2019) 60% figure</t>
  </si>
  <si>
    <t>CRITICAL: Confirms 60% inaccuracy is persistent structural issue. $400bn global loss. Connects Veracity to financial loss. Addresses RQ2.</t>
  </si>
  <si>
    <t>EXT_REL_002</t>
  </si>
  <si>
    <t>For individual retailers, that can translate to 1-3% in lost sales - and that's just the tip of the iceberg.</t>
  </si>
  <si>
    <t>p.2 (Intro)</t>
  </si>
  <si>
    <t>lost_sales_1-3pct</t>
  </si>
  <si>
    <t>revenue_leakage</t>
  </si>
  <si>
    <t>financial_impact</t>
  </si>
  <si>
    <t>Aligns with ECR (2019) estimate of 4-8% uplift from fixing records</t>
  </si>
  <si>
    <t>Provides specific KPI (1-3% sales loss) for Cost of Poor Data. Useful for Value in 5Vs framework. Addresses RQ2.</t>
  </si>
  <si>
    <t>EXT_REL_003</t>
  </si>
  <si>
    <t>This 'phantom inventory' problem... Your store associates just walked the aisles and found exactly zero units on the shelves or in the stockroom [despite system showing 50 units].</t>
  </si>
  <si>
    <t>phantom_inventory_definition</t>
  </si>
  <si>
    <t>physical_digital_mismatch</t>
  </si>
  <si>
    <t>availability_failure</t>
  </si>
  <si>
    <t>Explains the 'Inventory Freezing' concept found in ECR (2019)</t>
  </si>
  <si>
    <t>Defines 'Phantom Inventory' in plain English. Mechanism by which BD systems fail (Garbage In, Garbage Out). Addresses RQ3.</t>
  </si>
  <si>
    <t>EXT_GRO_001</t>
  </si>
  <si>
    <t>Trade_Publication</t>
  </si>
  <si>
    <t>The Grocer</t>
  </si>
  <si>
    <t>The Grocer 33: Mystery weekly shopping survey</t>
  </si>
  <si>
    <t>https://www.thegrocer.co.uk/reports-and-data/the-grocer-33</t>
  </si>
  <si>
    <t>Availability [Week 24]: Asda 96.9... Morrisons 90.9... Sainsbury's 93.9... Tesco 90.9... Waitrose 93.9</t>
  </si>
  <si>
    <t>p.4 (Availability Table)</t>
  </si>
  <si>
    <t>availability_variability_2025</t>
  </si>
  <si>
    <t>Tesco_dip_90.9</t>
  </si>
  <si>
    <t>Asda_peak_96.9</t>
  </si>
  <si>
    <t>Contrasts with Tesco's high YTD average (96.9%), showing operational volatility</t>
  </si>
  <si>
    <t>CRITICAL: Real-time availability data. Despite Tesco's analytics, dropped to 90.9% this week. Shows resilience issues. Addresses RQ2.</t>
  </si>
  <si>
    <t>EXT_GRO_002</t>
  </si>
  <si>
    <t>Lidl... 100.0 [Availability]... Aldi... 98.4 [Availability]</t>
  </si>
  <si>
    <t>Lidl_perfect_availability</t>
  </si>
  <si>
    <t>discounter_availability_lead</t>
  </si>
  <si>
    <t>simplicity_vs_tech</t>
  </si>
  <si>
    <t>Supports argument that 'complexity' (Big 4) vs 'simplicity' (Discounters) impacts availability</t>
  </si>
  <si>
    <t>CRITICAL: Lidl 100% availability vs Big 4's 90-97%. Challenges assumption that complex BD systems are only way to achieve accuracy. Addresses RQ1.</t>
  </si>
  <si>
    <t>EXT_GRO_003</t>
  </si>
  <si>
    <t>Asda £81.98... Tesco £84.88... Morrisons £91.43... Sainsbury's £92.69... Waitrose £118.02</t>
  </si>
  <si>
    <t>p.2 (Prices Table)</t>
  </si>
  <si>
    <t>price_competitiveness_2025</t>
  </si>
  <si>
    <t>Asda_price_leadership</t>
  </si>
  <si>
    <t>inflation_context</t>
  </si>
  <si>
    <t>Aligns with 'Price War' context</t>
  </si>
  <si>
    <t>Market Context. Asda winning on Price (£81.98) AND Availability (96.9%) in this snapshot. Intense cost pressure. Addresses RQ2.</t>
  </si>
  <si>
    <t>EXT_BEA_001</t>
  </si>
  <si>
    <t>BearingPoint</t>
  </si>
  <si>
    <t>UK Retail Trends 2024</t>
  </si>
  <si>
    <t>https://www.bearingpoint.com/en-gb/insights-events/insights/uk-retail-trends-2024/</t>
  </si>
  <si>
    <t>22% of retailers are already using AI, 17% plan to invest in 2024 and 24% interested and waiting to see what happens.</t>
  </si>
  <si>
    <t>p.3 (Section 4: AI)</t>
  </si>
  <si>
    <t>AI_adoption_22pct</t>
  </si>
  <si>
    <t>AI_investment_plan_17pct</t>
  </si>
  <si>
    <t>AI_hesitancy_24pct</t>
  </si>
  <si>
    <t>Aligns with Gartner global data but provides UK baseline</t>
  </si>
  <si>
    <t>CRITICAL: UK baseline - 22% using AI, 17% planning, 24% waiting. 'Follower' strategy common. Addresses RQ1.</t>
  </si>
  <si>
    <t>EXT_BEA_002</t>
  </si>
  <si>
    <t>Omnichannel customers spend 4% more in store and 10% more online than single channel customers.</t>
  </si>
  <si>
    <t>p.2 (Section 1: Seamless Omnichannel)</t>
  </si>
  <si>
    <t>omnichannel_spend_uplift</t>
  </si>
  <si>
    <t>online_spend_+10pct</t>
  </si>
  <si>
    <t>store_spend_+4pct</t>
  </si>
  <si>
    <t>Supports business case for 'Unified Commerce'</t>
  </si>
  <si>
    <t>CRITICAL: Quantifies Value of omnichannel data integration. +4% store, +10% online spend. Addresses RQ2.</t>
  </si>
  <si>
    <t>EXT_BEA_003</t>
  </si>
  <si>
    <t>AI can help retailers optimise their inventory levels and avoid overstocking or understocking.</t>
  </si>
  <si>
    <t>p.4 (Section 4: AI)</t>
  </si>
  <si>
    <t>inventory_optimisation</t>
  </si>
  <si>
    <t>overstock_prevention</t>
  </si>
  <si>
    <t>understock_avoidance</t>
  </si>
  <si>
    <t>Conceptual alignment with Dissertation Research Aim</t>
  </si>
  <si>
    <t>Explicitly links AI Technology to Inventory outcomes (Overstock/Understock). Addresses RQ1.</t>
  </si>
  <si>
    <t>EXT_BEA_004</t>
  </si>
  <si>
    <t>According to a recent survey from the BRC, 71% of retailers will prioritise speech analytics above text analytics, Natural Language Processing and Machine Learning.</t>
  </si>
  <si>
    <t>speech_analytics_priority_71pct</t>
  </si>
  <si>
    <t>NLP_deprioritised</t>
  </si>
  <si>
    <t>ML_deprioritised</t>
  </si>
  <si>
    <t>Cites British Retail Consortium (BRC)</t>
  </si>
  <si>
    <t>Surprising finding for RQ1. UK retailers prioritising Customer Service AI (Speech) over Operational AI (ML for inventory). Addresses RQ1.</t>
  </si>
  <si>
    <t>EXT_BEA_005</t>
  </si>
  <si>
    <t>Annual employee turnover among UK retail workers at 57.3%.</t>
  </si>
  <si>
    <t>p.4 (Section 5: Resilient Operating Models)</t>
  </si>
  <si>
    <t>staff_turnover_57.3pct</t>
  </si>
  <si>
    <t>labour_instability</t>
  </si>
  <si>
    <t>retention_challenge</t>
  </si>
  <si>
    <t>Labour_Market</t>
  </si>
  <si>
    <t>Provides context for 'Resilience' need</t>
  </si>
  <si>
    <t>CRITICAL: 57.3% annual turnover creates loss of tribal knowledge, increasing necessity for data-driven automated inventory systems. Addresses RQ3.</t>
  </si>
  <si>
    <t>EXT_BCG_017</t>
  </si>
  <si>
    <t>Using Operational Excellence to Boost Shareholder Returns</t>
  </si>
  <si>
    <t>https://web-assets.bcg.com/img-src/BCG_Using_Operational_Excellence_Nov_2013_tcm9-92174.pdf</t>
  </si>
  <si>
    <t>T4_Conceptual</t>
  </si>
  <si>
    <t>The S&amp;OP process can be thought of as a company's 'hidden supply-chain engine'... It determines how many units of each product will be made by each plant, based on demand forecasts from marketing and sales, cost factors, risks, and strategic objectives.</t>
  </si>
  <si>
    <t>p.9 (Applying a World-Class S&amp;OP Process)</t>
  </si>
  <si>
    <t>S&amp;OP_definition</t>
  </si>
  <si>
    <t>demand_forecasting_alignment</t>
  </si>
  <si>
    <t>cross_functional_planning</t>
  </si>
  <si>
    <t>Aligns with APICS (2017) definition</t>
  </si>
  <si>
    <t>Foundational definition of S&amp;OP. 'Hidden supply-chain engine'. Use to define Plan component of SCOR model. Caveat: 2013 source, industrial-focused.</t>
  </si>
  <si>
    <t>EXT_BCG_018</t>
  </si>
  <si>
    <t>Reducing working capital can ultimately reduce customer satisfaction, and deferring capital expenditures for maintenance can harm quality.</t>
  </si>
  <si>
    <t>p.5 (How Does Operational Excellence Create Value?)</t>
  </si>
  <si>
    <t>working_capital_tradeoff</t>
  </si>
  <si>
    <t>inventory_vs_satisfaction</t>
  </si>
  <si>
    <t>cost_cutting_risks</t>
  </si>
  <si>
    <t>Supports 'Efficiency-Resilience Paradox'</t>
  </si>
  <si>
    <t>Theoretical support for Efficiency-Resilience Paradox. Blind inventory reduction (Working Capital) risks customer satisfaction. Addresses RQ2.</t>
  </si>
  <si>
    <t>EXT_BCG_019</t>
  </si>
  <si>
    <t>To manage complexity effectively, however, companies must find the optimal balance between the cost of complexity and the value of variety... collaborating in order to identify products and unique configurations that add incremental value from a customer's perspective.</t>
  </si>
  <si>
    <t>p.8 (Managing Complexity)</t>
  </si>
  <si>
    <t>cost_of_complexity</t>
  </si>
  <si>
    <t>value_of_variety</t>
  </si>
  <si>
    <t>marketing_ops_collaboration</t>
  </si>
  <si>
    <t>Low</t>
  </si>
  <si>
    <t>Conceptual link to 'Variety' in 5Vs framework. Relevant to SKU rationalisation strategies. Caveat: Manufacturing product portfolios.</t>
  </si>
  <si>
    <t>EXT_LID_016</t>
  </si>
  <si>
    <t>Tier 1</t>
  </si>
  <si>
    <t>Primary</t>
  </si>
  <si>
    <t>Since 2016, we have reduced our food waste by 43% per square metre of floor space.</t>
  </si>
  <si>
    <t>Food Waste Section</t>
  </si>
  <si>
    <t>Waste_Reduction</t>
  </si>
  <si>
    <t>Food_Waste</t>
  </si>
  <si>
    <t>Baseline_Reduction</t>
  </si>
  <si>
    <t>Quantified</t>
  </si>
  <si>
    <t>Figure 4.2; Table 4.2</t>
  </si>
  <si>
    <t>Baseline 2016; Per sqm intensity metric; Supports Discounter Paradox analysis</t>
  </si>
  <si>
    <t>2026-01-21</t>
  </si>
  <si>
    <t>EXT_WAI_011</t>
  </si>
  <si>
    <t>John Lewis Partnership Ethics and Sustainability Report 2024/25</t>
  </si>
  <si>
    <t>We have seen a 34% reduction in food waste across our Waitrose operations since our 2018/19 baseline.</t>
  </si>
  <si>
    <t>Baseline 2018/19; Target 50% by 2030 (Courtauld 2030 aligned)</t>
  </si>
  <si>
    <t>EXT_MOR_011</t>
  </si>
  <si>
    <t>We have reduced food waste in our own operations by 32% compared to our 2017 baseline.</t>
  </si>
  <si>
    <t>Waste Section</t>
  </si>
  <si>
    <t>Baseline 2017; Own operations scope</t>
  </si>
  <si>
    <t>EXT_SAI_011</t>
  </si>
  <si>
    <t>Sainsbury's Sustainability Report 2025</t>
  </si>
  <si>
    <t>In 2023/24, we reduced our food waste by 31 per cent against our 2019/20 baseline.</t>
  </si>
  <si>
    <t>Baseline 2019/20; Operational food waste</t>
  </si>
  <si>
    <t>EXT_MKS_011</t>
  </si>
  <si>
    <t>Marks and Spencer Group plc ESG Report 2025</t>
  </si>
  <si>
    <t>Food waste: 50% reduction by 2029/30 (vs 2016/17 base year) – Performance: 31%</t>
  </si>
  <si>
    <t>ESG Metrics</t>
  </si>
  <si>
    <t>Baseline 2016/17; Target 50% by 2029/30</t>
  </si>
  <si>
    <t>EXT_TES_011</t>
  </si>
  <si>
    <t>Tesco PLC Annual Report and Financial Statements 2024</t>
  </si>
  <si>
    <t>18% reduction in food waste against a 2016/17 baseline.</t>
  </si>
  <si>
    <t>Sustainability Section</t>
  </si>
  <si>
    <t>Baseline 2016/17; Operational food waste; Lowest of Big 4</t>
  </si>
  <si>
    <t>EXT_RET_001</t>
  </si>
  <si>
    <t>Retail Economics / NatWest</t>
  </si>
  <si>
    <t>Retail and Leisure Outlook Report 2025</t>
  </si>
  <si>
    <t>No, we have already implemented key automation technologies (18.7% of businesses with revenues &gt;£300m).</t>
  </si>
  <si>
    <t>Automation_Adoption</t>
  </si>
  <si>
    <t>Current_Usage</t>
  </si>
  <si>
    <t>Large_Firms</t>
  </si>
  <si>
    <t>Technology_Enablers</t>
  </si>
  <si>
    <t>Figure 4.1 Panel B</t>
  </si>
  <si>
    <t>n=100 UK retail/leisure/hospitality; Large firms (&gt;£300m revenue)</t>
  </si>
  <si>
    <t>EXT_RET_002</t>
  </si>
  <si>
    <t>Nearly half (46.7%) of businesses with annual revenues exceeding £300m are actively planning to implement automation.</t>
  </si>
  <si>
    <t>p.40-41</t>
  </si>
  <si>
    <t>Planning</t>
  </si>
  <si>
    <t>n=100; Driven by NLW £12.71 and NIC 15% environment; Automation leads AI 3:1</t>
  </si>
  <si>
    <t>EXT_RET_003</t>
  </si>
  <si>
    <t>No, but we are monitoring the situation for automation technologies (20.0% of businesses with revenues &gt;£300m).</t>
  </si>
  <si>
    <t>Wait_And_See</t>
  </si>
  <si>
    <t>Adoption_Barriers</t>
  </si>
  <si>
    <t>n=100; Strategic wait-and-see mode; Uncertainty barrier</t>
  </si>
  <si>
    <t>EXT_RET_004</t>
  </si>
  <si>
    <t>Yes, we are reviewing the business case for automation technologies (50.9% of businesses with revenues &lt;£100m).</t>
  </si>
  <si>
    <t>Investigating</t>
  </si>
  <si>
    <t>Small_Firms</t>
  </si>
  <si>
    <t>n=100; Small firm cohort (&lt;£100m); High upfront cost barrier</t>
  </si>
  <si>
    <t>EXT_RET_005</t>
  </si>
  <si>
    <t>33.3% of middle-sized businesses (£101m-£299m) are now planning to implement automation.</t>
  </si>
  <si>
    <t>Mid_Firms</t>
  </si>
  <si>
    <t>n=100; Mid-market adoption shift</t>
  </si>
  <si>
    <t>EXT_RET_006</t>
  </si>
  <si>
    <t>No, automation is not suitable for our business (6.2% of mid-market firms £101m-£299m).</t>
  </si>
  <si>
    <t>No_Plans</t>
  </si>
  <si>
    <t>n=100; Identifies non-adopter segment; Structural barrier</t>
  </si>
  <si>
    <t>THEMATIC CODEBOOK - Version 2.1 (6 Themes)</t>
  </si>
  <si>
    <t>Theme_ID</t>
  </si>
  <si>
    <t>Theme_Name</t>
  </si>
  <si>
    <t>Description</t>
  </si>
  <si>
    <t>Sub_Themes</t>
  </si>
  <si>
    <t>Primary_RQ</t>
  </si>
  <si>
    <t>Extract_Count</t>
  </si>
  <si>
    <t>BD_Operational_Efficiency</t>
  </si>
  <si>
    <t>Measurable operational improvements from BD/AI implementation</t>
  </si>
  <si>
    <t>Demand_Forecasting; Inventory_Accuracy; Stock_Availability; Labour_Optimisation; Supply_Chain_Visibility; Omnichannel_Integration; ROI_Metrics; Network_Efficiency</t>
  </si>
  <si>
    <t>RQ1</t>
  </si>
  <si>
    <t>BD_Cost_Reduction</t>
  </si>
  <si>
    <t>Quantifiable cost savings, financial benefits, and waste reduction</t>
  </si>
  <si>
    <t>Food_Waste_Prevention; Markdown_Optimisation; Transport_Efficiency; Energy_Optimisation; Shrinkage_Reduction; Working_Capital_Improvement</t>
  </si>
  <si>
    <t>RQ2</t>
  </si>
  <si>
    <t>Factors impeding or slowing BD/AI implementation</t>
  </si>
  <si>
    <t>Technical_Complexity; Skills_Gap; Legacy_Systems; Implementation_Cost; Data_Quality_Issues; Data_Governance; Change_Resistance; Integration_Challenges</t>
  </si>
  <si>
    <t>RQ3</t>
  </si>
  <si>
    <t>Implementation_Enablers</t>
  </si>
  <si>
    <t>Factors facilitating successful BD/AI adoption</t>
  </si>
  <si>
    <t>Leadership_Support; Vendor_Partnerships; Data_Infrastructure; Cloud_Adoption; Talent_Development; Scalable_Architecture; Centre_of_Excellence; Pilot_Programme_Success</t>
  </si>
  <si>
    <t>Competitive_Dynamics</t>
  </si>
  <si>
    <t>How BD/AI affects competitive positioning and market structure</t>
  </si>
  <si>
    <t>Market_Concentration; Discounter_Pressure; Online_Competition; Technology_Differentiation; First_Mover_Advantage; Capability_Gap</t>
  </si>
  <si>
    <t>RQ1, RQ3</t>
  </si>
  <si>
    <t>UK_Market_Context</t>
  </si>
  <si>
    <t>UK-specific market conditions affecting BD adoption</t>
  </si>
  <si>
    <t>Regulatory_Environment; Labour_Market; Consumer_Behaviour; Brexit_Impact; Inflation_Pressure; Channel_Dynamics</t>
  </si>
  <si>
    <t>RQ1, RQ2, RQ3</t>
  </si>
  <si>
    <t>GEOGRAPHIC TIERING FRAMEWORK</t>
  </si>
  <si>
    <t>Tier</t>
  </si>
  <si>
    <t>Code</t>
  </si>
  <si>
    <t>Criteria</t>
  </si>
  <si>
    <t>Citation Framing</t>
  </si>
  <si>
    <t>Usage</t>
  </si>
  <si>
    <t>UK retailers named; UK market data; UK government sources</t>
  </si>
  <si>
    <t>"In the UK context..."</t>
  </si>
  <si>
    <t>Tier 2</t>
  </si>
  <si>
    <t>European studies with UK explicitly in sample</t>
  </si>
  <si>
    <t>"European research including UK shows..."</t>
  </si>
  <si>
    <t>Tier 3</t>
  </si>
  <si>
    <t>US/Global studies on comparable retail contexts</t>
  </si>
  <si>
    <t>"International evidence suggests..."</t>
  </si>
  <si>
    <t>Tier 4</t>
  </si>
  <si>
    <t>Theoretical frameworks; methodology studies</t>
  </si>
  <si>
    <t>"The framework proposed by..."</t>
  </si>
  <si>
    <t>VALIDATION TRACKER - UKRIO Research Integrity</t>
  </si>
  <si>
    <t>Claim</t>
  </si>
  <si>
    <t>Primary_Source</t>
  </si>
  <si>
    <t>Confirming_Source</t>
  </si>
  <si>
    <t>Status</t>
  </si>
  <si>
    <t>Discrepancy_Notes</t>
  </si>
  <si>
    <t>Resolution</t>
  </si>
  <si>
    <t>72% operational food waste reduction (2017-2024)</t>
  </si>
  <si>
    <t>EXT_ALD_002 (Sustainability Report)</t>
  </si>
  <si>
    <t>EXT_ALD_009 (Financial - 67% to 2023)</t>
  </si>
  <si>
    <t>67% to 2023, then 72% by 2024 - consistent progression</t>
  </si>
  <si>
    <t>Both figures valid; cite 72% as latest with 67% as trajectory</t>
  </si>
  <si>
    <t>£19.775m D&amp;A Services spend (2024)</t>
  </si>
  <si>
    <t>EXT_ALD_006 (Financial Statements)</t>
  </si>
  <si>
    <t>Single source (KPMG audited)</t>
  </si>
  <si>
    <t>No independent confirmation available</t>
  </si>
  <si>
    <t>Use as primary evidence; note audited status</t>
  </si>
  <si>
    <t>625 water AMR devices installed</t>
  </si>
  <si>
    <t>EXT_ALD_004 (Sustainability Report)</t>
  </si>
  <si>
    <t>EXT_ALD_010 (Financial - 595 AMS)</t>
  </si>
  <si>
    <t>Sustainability=625 AMR, Financial=595 AMS</t>
  </si>
  <si>
    <t>Clarify: AMR vs AMS terminology; possible different measurement periods</t>
  </si>
  <si>
    <t>IRFM predictive monitoring system</t>
  </si>
  <si>
    <t>EXT_ALD_007 (Financial Statements)</t>
  </si>
  <si>
    <t>Single source</t>
  </si>
  <si>
    <t>Specific middleware named</t>
  </si>
  <si>
    <t>Strong evidence of BD technology deployment</t>
  </si>
  <si>
    <t>£599m investing activities incl. tech</t>
  </si>
  <si>
    <t>EXT_ALD_008 (Financial Statements)</t>
  </si>
  <si>
    <t>KPMG audited</t>
  </si>
  <si>
    <t>Aggregated figure (tech + stores + distribution)</t>
  </si>
  <si>
    <t>Use cautiously; tech portion not isolated</t>
  </si>
  <si>
    <t>£867m Project Future IT transformation cost</t>
  </si>
  <si>
    <t>EXT_ASD_003 (Financial Statements)</t>
  </si>
  <si>
    <t>Cross-checks with Capital Expenditure p.15</t>
  </si>
  <si>
    <t>Single source but audited; no independent confirmation</t>
  </si>
  <si>
    <t>Use as primary evidence for transformation scale</t>
  </si>
  <si>
    <t>Inventory loss reduction £140.2m to £87.1m (38%)</t>
  </si>
  <si>
    <t>EXT_ASD_004 (Financial Statements)</t>
  </si>
  <si>
    <t>Correlates with EXT_ASD_002 (inventory solutions rollout)</t>
  </si>
  <si>
    <t>Timing aligns with 800-store inventory system rollout</t>
  </si>
  <si>
    <t>Strong evidence of BD impact on shrinkage</t>
  </si>
  <si>
    <t>15.1% YoY food waste reduction</t>
  </si>
  <si>
    <t>EXT_ASD_009 (ESG Report)</t>
  </si>
  <si>
    <t>Single year metric; compare with Aldi's longitudinal data</t>
  </si>
  <si>
    <t>Use alongside Aldi's 72% (2017-2024) for comparison</t>
  </si>
  <si>
    <t>Shelf life extension 9 days (packaging)</t>
  </si>
  <si>
    <t>EXT_ASD_007 (ESG Report)</t>
  </si>
  <si>
    <t>Compare with EXT_ALD_003 (Aldi 7 days)</t>
  </si>
  <si>
    <t>Similar approach across retailers</t>
  </si>
  <si>
    <t>Evidence of industry-wide inventory optimisation trend</t>
  </si>
  <si>
    <t>800 stores inventory management solutions</t>
  </si>
  <si>
    <t>EXT_ASD_002 (Financial Statements)</t>
  </si>
  <si>
    <t>Links to EXT_ASD_001 (Project Future)</t>
  </si>
  <si>
    <t>Primarily small formats; scale for large stores unclear</t>
  </si>
  <si>
    <t>Note format limitation in analysis</t>
  </si>
  <si>
    <t>38% food waste reduction (FY18-FY25)</t>
  </si>
  <si>
    <t>EXT_ICE_003 (Financial Statements)</t>
  </si>
  <si>
    <t>EXT_ICE_008 (Sustainability Report)</t>
  </si>
  <si>
    <t>Both sources report identical 38% figure; 12% YoY consistent</t>
  </si>
  <si>
    <t>Strong cross-validated evidence</t>
  </si>
  <si>
    <t>WMS rollout to all RDCs completed July 2025</t>
  </si>
  <si>
    <t>EXT_ICE_001 (Financial Statements)</t>
  </si>
  <si>
    <t>Specific completion date provided</t>
  </si>
  <si>
    <t>Key infrastructure milestone</t>
  </si>
  <si>
    <t>Dynamic markdown / Gander technology</t>
  </si>
  <si>
    <t>EXT_ICE_002 (Financial Statements)</t>
  </si>
  <si>
    <t>EXT_ICE_006 (Sustainability Report)</t>
  </si>
  <si>
    <t>Financial mentions 'dynamic markdowns'; Sustainability names 'Gander'</t>
  </si>
  <si>
    <t>Same technology, different naming</t>
  </si>
  <si>
    <t>90% incremental Amazon customers</t>
  </si>
  <si>
    <t>EXT_ICE_005 (Financial Statements)</t>
  </si>
  <si>
    <t>Specific metric for channel attribution</t>
  </si>
  <si>
    <t>Data-driven channel validation</t>
  </si>
  <si>
    <t>Green Mile data-driven logistics project</t>
  </si>
  <si>
    <t>EXT_ICE_007 (Sustainability Report)</t>
  </si>
  <si>
    <t>Named project with explicit 'data driven' description</t>
  </si>
  <si>
    <t>Clear BD application example</t>
  </si>
  <si>
    <t>18.5m meals donated (FY24)</t>
  </si>
  <si>
    <t>EXT_LID_006 (Socio-Economic)</t>
  </si>
  <si>
    <t>EXT_LID_009 (Forvis Mazars Assurance)</t>
  </si>
  <si>
    <t>Independently assured metric</t>
  </si>
  <si>
    <t>High confidence - third-party verification</t>
  </si>
  <si>
    <t>300% increase in donation tonnage</t>
  </si>
  <si>
    <t>EXT_LID_014 (Sustainability)</t>
  </si>
  <si>
    <t>Correlates with EXT_LID_006 meal donations</t>
  </si>
  <si>
    <t>KPI introduction drove improvement</t>
  </si>
  <si>
    <t>Evidence of data-driven management impact</t>
  </si>
  <si>
    <t>7,000 supply chain sites database</t>
  </si>
  <si>
    <t>EXT_LID_012 (Sustainability)</t>
  </si>
  <si>
    <t>Specific quantification of data volume</t>
  </si>
  <si>
    <t>Key evidence of upstream visibility scale</t>
  </si>
  <si>
    <t>33% food waste reduction progress</t>
  </si>
  <si>
    <t>EXT_LID_004 (Annual Report)</t>
  </si>
  <si>
    <t>Cross-checks with p.21 narrative</t>
  </si>
  <si>
    <t>Progress toward 50% 2030 target</t>
  </si>
  <si>
    <t>Longitudinal metric</t>
  </si>
  <si>
    <t>Shelf life doubled, waste halved (beef)</t>
  </si>
  <si>
    <t>EXT_LID_013 (Sustainability)</t>
  </si>
  <si>
    <t>Compare Aldi/Asda shelf life data</t>
  </si>
  <si>
    <t>Most significant shelf life improvement in dataset</t>
  </si>
  <si>
    <t>Cross-retailer comparison enabled</t>
  </si>
  <si>
    <t>Data classification uncertainty</t>
  </si>
  <si>
    <t>EXT_LID_010 (Socio-Economic)</t>
  </si>
  <si>
    <t>Single source (methodology disclosure)</t>
  </si>
  <si>
    <t>Rare explicit admission of data quality limitation</t>
  </si>
  <si>
    <t>Key evidence for TH_03 (barriers)</t>
  </si>
  <si>
    <t>Legacy systems 'below industry standards'</t>
  </si>
  <si>
    <t>EXT_MKS_002 (Annual Report - Chairman)</t>
  </si>
  <si>
    <t>Single source (senior management statement)</t>
  </si>
  <si>
    <t>Rare C-level admission of technology gap</t>
  </si>
  <si>
    <t>Key evidence for TH_03 barriers</t>
  </si>
  <si>
    <t>Gist acquisition £60m profit contribution</t>
  </si>
  <si>
    <t>EXT_MKS_003 (Annual Report)</t>
  </si>
  <si>
    <t>Audited financial figure</t>
  </si>
  <si>
    <t>Quantified enabler impact</t>
  </si>
  <si>
    <t>30m meals donated (100m cumulative)</t>
  </si>
  <si>
    <t>EXT_MKS_005 (Annual Report)</t>
  </si>
  <si>
    <t>Compare with Lidl 18.5m meals</t>
  </si>
  <si>
    <t>M&amp;S largest donation volume in dataset</t>
  </si>
  <si>
    <t>Data accuracy drop 85%→80%</t>
  </si>
  <si>
    <t>EXT_MKS_008 (ESG Report)</t>
  </si>
  <si>
    <t>Compare with EXT_LID_010 (Lidl data issues)</t>
  </si>
  <si>
    <t>Explicit quantified veracity issue</t>
  </si>
  <si>
    <t>Only extract with specific accuracy percentages</t>
  </si>
  <si>
    <t>Mondra platform - 6,000 products</t>
  </si>
  <si>
    <t>EXT_MKS_007 (ESG Report)</t>
  </si>
  <si>
    <t>Compare with EXT_LID_011 (Lidl Mondra)</t>
  </si>
  <si>
    <t>Both M&amp;S and Lidl use Mondra</t>
  </si>
  <si>
    <t>Cross-retailer platform adoption pattern</t>
  </si>
  <si>
    <t>47% fuel saving from automation</t>
  </si>
  <si>
    <t>EXT_MKS_009 (ESG Report)</t>
  </si>
  <si>
    <t>Single source (supplier trial)</t>
  </si>
  <si>
    <t>Huntapac partnership trial</t>
  </si>
  <si>
    <t>Quantified upstream automation benefit</t>
  </si>
  <si>
    <t>13% operational food waste reduction (4,000t)</t>
  </si>
  <si>
    <t>EXT_MOR_003 (Annual Report)</t>
  </si>
  <si>
    <t>Compare Aldi 72%, Iceland 38%</t>
  </si>
  <si>
    <t>Single year metric</t>
  </si>
  <si>
    <t>More Card 50% swipe rate</t>
  </si>
  <si>
    <t>EXT_MOR_002 (Annual Report)</t>
  </si>
  <si>
    <t>Compare Lidl Plus 11m users</t>
  </si>
  <si>
    <t>High data capture rate</t>
  </si>
  <si>
    <t>Vertical integration 50% fresh food control</t>
  </si>
  <si>
    <t>EXT_MOR_004 (Annual Report)</t>
  </si>
  <si>
    <t>Single source (business model)</t>
  </si>
  <si>
    <t>Unique structural advantage</t>
  </si>
  <si>
    <t>Key differentiation for Morrisons</t>
  </si>
  <si>
    <t>M2030 platform - 200 suppliers</t>
  </si>
  <si>
    <t>EXT_MOR_006 (Sustainability)</t>
  </si>
  <si>
    <t>Compare M&amp;S (200), Lidl M2030</t>
  </si>
  <si>
    <t>Third retailer using M2030</t>
  </si>
  <si>
    <t>Cross-retailer platform adoption</t>
  </si>
  <si>
    <t>7.2% emissions increase from better data</t>
  </si>
  <si>
    <t>EXT_MOR_009 (Sustainability)</t>
  </si>
  <si>
    <t>Compare M&amp;S accuracy drop, Lidl uncertainty</t>
  </si>
  <si>
    <t>J-curve effect of data improvement</t>
  </si>
  <si>
    <t>Key evidence for TH_03 veracity issues</t>
  </si>
  <si>
    <t>Too Good To Go 800t, 2m bags</t>
  </si>
  <si>
    <t>EXT_MOR_007 (Sustainability)</t>
  </si>
  <si>
    <t>Cross-checks with 13% waste reduction</t>
  </si>
  <si>
    <t>Consumer-facing tech impact</t>
  </si>
  <si>
    <t>Quantified app-driven waste diversion</t>
  </si>
  <si>
    <t>Food waste 0.5% / 0.49%</t>
  </si>
  <si>
    <t>EXT_OCA_001 (Annual Report)</t>
  </si>
  <si>
    <t>EXT_OCA_006 (Sustainability Report)</t>
  </si>
  <si>
    <t>Figures consistent (rounding). Industry-leading.</t>
  </si>
  <si>
    <t>Key benchmark for online vs store model</t>
  </si>
  <si>
    <t>30% substitutions reduction</t>
  </si>
  <si>
    <t>EXT_OCA_002 (Annual Report)</t>
  </si>
  <si>
    <t>Perfect Execution programme outcome</t>
  </si>
  <si>
    <t>Direct BD application evidence</t>
  </si>
  <si>
    <t>OSP platform migration</t>
  </si>
  <si>
    <t>EXT_OCA_004 (Annual Report)</t>
  </si>
  <si>
    <t>Compare M&amp;S OSP usage (EXT_MKS_004)</t>
  </si>
  <si>
    <t>Both Ocado Retail and M&amp;S use OSP</t>
  </si>
  <si>
    <t>1.07m active customers</t>
  </si>
  <si>
    <t>EXT_OCA_003 (Annual Report)</t>
  </si>
  <si>
    <t>Cross-checks with Financial Review</t>
  </si>
  <si>
    <t>12.3% growth</t>
  </si>
  <si>
    <t>Data volume for analytics</t>
  </si>
  <si>
    <t>20% waste target by 2025, 50% by 2030</t>
  </si>
  <si>
    <t>EXT_OCA_010 (Sustainability)</t>
  </si>
  <si>
    <t>Progress shown in EXT_OCA_006</t>
  </si>
  <si>
    <t>Target-driven investment rationale</t>
  </si>
  <si>
    <t>Strategic commitment</t>
  </si>
  <si>
    <t>£230m cost savings (£1.1bn cumulative)</t>
  </si>
  <si>
    <t>EXT_SAI_001 (Annual Report)</t>
  </si>
  <si>
    <t>Cross-checks with Save to Invest section</t>
  </si>
  <si>
    <t>Largest quantified BD ROI in dataset</t>
  </si>
  <si>
    <t>Explicit digitisation attribution</t>
  </si>
  <si>
    <t>Nectar 80% participation</t>
  </si>
  <si>
    <t>EXT_SAI_002 (Annual Report)</t>
  </si>
  <si>
    <t>Compare More Card 50%, Lidl Plus 11m</t>
  </si>
  <si>
    <t>Highest loyalty participation rate</t>
  </si>
  <si>
    <t>Data volume comparison enabled</t>
  </si>
  <si>
    <t>AI-enabled forecasting 14% waste reduction</t>
  </si>
  <si>
    <t>EXT_SAI_003 (Annual Report)</t>
  </si>
  <si>
    <t>First explicit AI mention for forecasting</t>
  </si>
  <si>
    <t>Key technology evidence</t>
  </si>
  <si>
    <t>250bps availability improvement</t>
  </si>
  <si>
    <t>EXT_SAI_005 (Annual Report)</t>
  </si>
  <si>
    <t>Compare Morrisons 9%</t>
  </si>
  <si>
    <t>Real-time inventory system attributed</t>
  </si>
  <si>
    <t>Direct BD impact metric</t>
  </si>
  <si>
    <t>£830m capex technology investment</t>
  </si>
  <si>
    <t>EXT_SAI_004 (Annual Report)</t>
  </si>
  <si>
    <t>Compare Asda £867m Project Future</t>
  </si>
  <si>
    <t>Scale of financial enabler</t>
  </si>
  <si>
    <t>Cross-retailer capex comparison</t>
  </si>
  <si>
    <t>Animal welfare KPI tracking system</t>
  </si>
  <si>
    <t>EXT_SAI_006-009 (Sustainability)</t>
  </si>
  <si>
    <t>Interrelated metrics</t>
  </si>
  <si>
    <t>Advanced upstream data capability</t>
  </si>
  <si>
    <t>Farm-level supply chain visibility</t>
  </si>
  <si>
    <t>AI range optimisation 1.5pp availability</t>
  </si>
  <si>
    <t>EXT_TES_001 (Annual Report)</t>
  </si>
  <si>
    <t>Second explicit AI mention (after Sainsbury's)</t>
  </si>
  <si>
    <t>Direct BD-outcome quantification</t>
  </si>
  <si>
    <t>Clubcard 82% penetration, 18m households</t>
  </si>
  <si>
    <t>EXT_TES_002 (Annual Report)</t>
  </si>
  <si>
    <t>Compare Sainsbury's Nectar 80%</t>
  </si>
  <si>
    <t>Largest customer database in dataset</t>
  </si>
  <si>
    <t>Volume dimension evidence</t>
  </si>
  <si>
    <t>£640m efficiency savings, automated ordering</t>
  </si>
  <si>
    <t>EXT_TES_003 (Annual Report)</t>
  </si>
  <si>
    <t>Compare Sainsbury's £230m/£1.1bn</t>
  </si>
  <si>
    <t>Explicit automation attribution</t>
  </si>
  <si>
    <t>ROI quantification</t>
  </si>
  <si>
    <t>0.35% food waste (absolute)</t>
  </si>
  <si>
    <t>EXT_TES_004 (Annual Report)</t>
  </si>
  <si>
    <t>Compare Ocado 0.49%</t>
  </si>
  <si>
    <t>Lower than Ocado despite store model</t>
  </si>
  <si>
    <t>Benchmark comparison enabled</t>
  </si>
  <si>
    <t>AI Governance Framework</t>
  </si>
  <si>
    <t>EXT_TES_008 (Sustainability)</t>
  </si>
  <si>
    <t>Only AI governance extract in dataset</t>
  </si>
  <si>
    <t>Key organizational enabler</t>
  </si>
  <si>
    <t>Waitrose 96.5% availability</t>
  </si>
  <si>
    <t>EXT_WAI_001 (Annual Report)</t>
  </si>
  <si>
    <t>Highest availability figure in dataset</t>
  </si>
  <si>
    <t>Benchmark metric</t>
  </si>
  <si>
    <t>£112m ERP replacement investment</t>
  </si>
  <si>
    <t>EXT_WAI_003 (Annual Report)</t>
  </si>
  <si>
    <t>Compare M&amp;S legacy admission</t>
  </si>
  <si>
    <t>Explicit legacy infrastructure barrier</t>
  </si>
  <si>
    <t>Capex/barrier evidence</t>
  </si>
  <si>
    <t>Land App 2,500 farms</t>
  </si>
  <si>
    <t>EXT_WAI_006 (Sustainability)</t>
  </si>
  <si>
    <t>Compare Morrisons Map of Ag, Asda Land App</t>
  </si>
  <si>
    <t>Third retailer using farm mapping</t>
  </si>
  <si>
    <t>Platform convergence pattern</t>
  </si>
  <si>
    <t>UK food waste 10.2Mt, retail 2%</t>
  </si>
  <si>
    <t>EXT_WRP_001 (WRAP Key Facts)</t>
  </si>
  <si>
    <t>Cross-checks with retailer figures</t>
  </si>
  <si>
    <t>Macro-baseline for UK</t>
  </si>
  <si>
    <t>Context for dissertation</t>
  </si>
  <si>
    <t>26% retail waste reduction since 2007</t>
  </si>
  <si>
    <t>EXT_WRP_002 (WRAP Key Facts)</t>
  </si>
  <si>
    <t>Cross-checks with Tesco/Sainsbury's</t>
  </si>
  <si>
    <t>Sector outperforming others</t>
  </si>
  <si>
    <t>Key benchmark</t>
  </si>
  <si>
    <t>£22.3bn waste value, £0.74bn retail</t>
  </si>
  <si>
    <t>EXT_WRP_004 (WRAP Key Facts)</t>
  </si>
  <si>
    <t>Financial driver for BD investment</t>
  </si>
  <si>
    <t>Value quantification</t>
  </si>
  <si>
    <t>Primary production data gap</t>
  </si>
  <si>
    <t>EXT_WRP_005 (WRAP Key Facts)</t>
  </si>
  <si>
    <t>Cross-checks with Morrisons Map of Ag</t>
  </si>
  <si>
    <t>Critical blind spot</t>
  </si>
  <si>
    <t>Veracity issue</t>
  </si>
  <si>
    <t>EPR projected 19.6m tonnes CO2e by 2049</t>
  </si>
  <si>
    <t>EXT_WRP_009 (WRAP Annual)</t>
  </si>
  <si>
    <t>Cross-checks with BRC Manifesto</t>
  </si>
  <si>
    <t>Regulatory driver</t>
  </si>
  <si>
    <t>Policy influence</t>
  </si>
  <si>
    <t>66% overinvestment paradox</t>
  </si>
  <si>
    <t>EXT_MAR_001 (Marsh McLennan)</t>
  </si>
  <si>
    <t>Consistent with McKinsey findings</t>
  </si>
  <si>
    <t>Counter-narrative for RQ3</t>
  </si>
  <si>
    <t>ROI uncertainty</t>
  </si>
  <si>
    <t>Only 15% full SC data integration</t>
  </si>
  <si>
    <t>EXT_MAR_002 (Marsh McLennan)</t>
  </si>
  <si>
    <t>Cross-checks with Accenture</t>
  </si>
  <si>
    <t>Integration gap evidence</t>
  </si>
  <si>
    <t>Key barrier</t>
  </si>
  <si>
    <t>48% skills gap for AI/Analytics</t>
  </si>
  <si>
    <t>EXT_MAR_005 (Marsh McLennan)</t>
  </si>
  <si>
    <t>Consistent with BRC Skills Levy</t>
  </si>
  <si>
    <t>Human barrier</t>
  </si>
  <si>
    <t>Organizational context</t>
  </si>
  <si>
    <t>12% higher margins from visibility</t>
  </si>
  <si>
    <t>EXT_MAR_004 (Marsh McLennan)</t>
  </si>
  <si>
    <t>Cross-checks with Capgemini</t>
  </si>
  <si>
    <t>Business case evidence</t>
  </si>
  <si>
    <t>Value of resilience</t>
  </si>
  <si>
    <t>AI data quality dependency</t>
  </si>
  <si>
    <t>EXT_GS1_001 (GS1 Global)</t>
  </si>
  <si>
    <t>Consistent with McKinsey 1% error risk</t>
  </si>
  <si>
    <t>AI needs trusted identification</t>
  </si>
  <si>
    <t>Veracity prerequisite</t>
  </si>
  <si>
    <t>58% consumer mistrust on contamination</t>
  </si>
  <si>
    <t>EXT_GS1_002 (GS1 UK)</t>
  </si>
  <si>
    <t>Trust deficit driver</t>
  </si>
  <si>
    <t>UK consumer data</t>
  </si>
  <si>
    <t>4x brand vs retailer recall impact</t>
  </si>
  <si>
    <t>EXT_GS1_003 (GS1 UK)</t>
  </si>
  <si>
    <t>Asymmetric risk</t>
  </si>
  <si>
    <t>Data sharing incentive</t>
  </si>
  <si>
    <t>20% allergy recall increase</t>
  </si>
  <si>
    <t>EXT_GS1_004 (GS1 UK)</t>
  </si>
  <si>
    <t>Cross-checks with FSA</t>
  </si>
  <si>
    <t>Growing operational risk</t>
  </si>
  <si>
    <t>Business case for traceability</t>
  </si>
  <si>
    <t>25% target setting (vs 80% milestone)</t>
  </si>
  <si>
    <t>EXT_WRR_001 (WRAP Roadmap)</t>
  </si>
  <si>
    <t>Contrasts with leaders</t>
  </si>
  <si>
    <t>Industry adoption gap</t>
  </si>
  <si>
    <t>Leader vs laggard divide</t>
  </si>
  <si>
    <t>30% measurement stagnation</t>
  </si>
  <si>
    <t>EXT_WRR_002 (WRAP Roadmap)</t>
  </si>
  <si>
    <t>Cross-checks with GS1</t>
  </si>
  <si>
    <t>BD potential limited</t>
  </si>
  <si>
    <t>Unchanged from 2022</t>
  </si>
  <si>
    <t>50% to 90% forecast accuracy with external data</t>
  </si>
  <si>
    <t>EXT_COR_002 (Coresight)</t>
  </si>
  <si>
    <t>Cross-checks with Deloitte</t>
  </si>
  <si>
    <t>Core BD value proposition</t>
  </si>
  <si>
    <t>Variety dimension</t>
  </si>
  <si>
    <t>Only 27% ready to scale GenAI</t>
  </si>
  <si>
    <t>EXT_ACC_003 (Accenture)</t>
  </si>
  <si>
    <t>Pilot Purgatory evidence</t>
  </si>
  <si>
    <t>Scaling barrier</t>
  </si>
  <si>
    <t>72% AI investment caution</t>
  </si>
  <si>
    <t>EXT_ACC_004 (Accenture)</t>
  </si>
  <si>
    <t>Compare Tesco AI governance</t>
  </si>
  <si>
    <t>Responsible AI brake</t>
  </si>
  <si>
    <t>Societal concerns</t>
  </si>
  <si>
    <t>183% rate of change since 2019</t>
  </si>
  <si>
    <t>EXT_ACC_006 (Accenture)</t>
  </si>
  <si>
    <t>Environmental pressure</t>
  </si>
  <si>
    <t>Agility imperative</t>
  </si>
  <si>
    <t>76% positive impact from traceability</t>
  </si>
  <si>
    <t>EXT_GS1_006 (GS1 Transparency)</t>
  </si>
  <si>
    <t>Confirms Tesco/Sainsbury's focus</t>
  </si>
  <si>
    <t>ROI validation</t>
  </si>
  <si>
    <t>Value proposition</t>
  </si>
  <si>
    <t>Inventory management 52% top use case</t>
  </si>
  <si>
    <t>EXT_GS1_007 (GS1 Transparency)</t>
  </si>
  <si>
    <t>Cross-checks with retailers</t>
  </si>
  <si>
    <t>#1 driver for data adoption</t>
  </si>
  <si>
    <t>Primary application</t>
  </si>
  <si>
    <t>Only 38% data fully accurate</t>
  </si>
  <si>
    <t>EXT_GS1_009 (GS1 Transparency)</t>
  </si>
  <si>
    <t>Consistent with M&amp;S 85-80%</t>
  </si>
  <si>
    <t>Veracity Gap evidence</t>
  </si>
  <si>
    <t>Scaling blocker</t>
  </si>
  <si>
    <t>68% expect 2D barcode impact</t>
  </si>
  <si>
    <t>EXT_GS1_010 (GS1 Transparency)</t>
  </si>
  <si>
    <t>Cross-checks with Ocado DDRS</t>
  </si>
  <si>
    <t>Technology enabler</t>
  </si>
  <si>
    <t>12-24 month horizon</t>
  </si>
  <si>
    <t>£3.3bn retail crime cost</t>
  </si>
  <si>
    <t>EXT_BRC_007 (BRC Manifesto)</t>
  </si>
  <si>
    <t>Cross-checks with Asda £87m</t>
  </si>
  <si>
    <t>Shrinkage business case</t>
  </si>
  <si>
    <t>Loss prevention driver</t>
  </si>
  <si>
    <t>£3.7bn EPR/DRS regulatory costs</t>
  </si>
  <si>
    <t>EXT_BRC_008 (BRC Manifesto)</t>
  </si>
  <si>
    <t>Cross-checks with DDRS pilots</t>
  </si>
  <si>
    <t>Barrier and enabler</t>
  </si>
  <si>
    <t>Policy impact</t>
  </si>
  <si>
    <t>Tesco-Mistral AI partnership</t>
  </si>
  <si>
    <t>EXT_IGD_004 (IGD)</t>
  </si>
  <si>
    <t>Cross-checks with Annual Report</t>
  </si>
  <si>
    <t>Bespoke AI capability</t>
  </si>
  <si>
    <t>Strategic investment</t>
  </si>
  <si>
    <t>65% catastrophic SC bottlenecks</t>
  </si>
  <si>
    <t>EXT_IGD_006 (Marsh/BRC)</t>
  </si>
  <si>
    <t>Cross-checks with main report</t>
  </si>
  <si>
    <t>Risk quantification</t>
  </si>
  <si>
    <t>Resilience driver</t>
  </si>
  <si>
    <t>Tesco 27.9% vs Discounters 21%</t>
  </si>
  <si>
    <t>EXT_DEF_005 (DEFRA Stats)</t>
  </si>
  <si>
    <t>Corroborates Kantar data</t>
  </si>
  <si>
    <t>Competitive pressure context</t>
  </si>
  <si>
    <t>Market structure</t>
  </si>
  <si>
    <t>Inflation peak 19.2% (Mar 2023)</t>
  </si>
  <si>
    <t>EXT_DEF_006 (DEFRA Stats)</t>
  </si>
  <si>
    <t>Updates EXT_DEF_001</t>
  </si>
  <si>
    <t>Volatility evidence</t>
  </si>
  <si>
    <t>Historical forecasting fails</t>
  </si>
  <si>
    <t>Consumer waste concern 58%</t>
  </si>
  <si>
    <t>EXT_DEF_007 (DEFRA Stats)</t>
  </si>
  <si>
    <t>BD waste reduction driver</t>
  </si>
  <si>
    <t>Consumer validation</t>
  </si>
  <si>
    <t>Efficiency imperative stated</t>
  </si>
  <si>
    <t>EXT_DEF_008 (DEFRA Stats)</t>
  </si>
  <si>
    <t>Government confirms BD case</t>
  </si>
  <si>
    <t>Saturated market</t>
  </si>
  <si>
    <t>45-year high inflation</t>
  </si>
  <si>
    <t>EXT_DEF_011 (Food Security)</t>
  </si>
  <si>
    <t>Cross-checks with EXT_DEF_001</t>
  </si>
  <si>
    <t>Margin pressure driver</t>
  </si>
  <si>
    <t>Geopolitical cause</t>
  </si>
  <si>
    <t>Single points of failure</t>
  </si>
  <si>
    <t>EXT_DEF_012 (Food Security)</t>
  </si>
  <si>
    <t>Supports Christopher (2023)</t>
  </si>
  <si>
    <t>SC mapping justification</t>
  </si>
  <si>
    <t>Resilience case</t>
  </si>
  <si>
    <t>22% wheat harvest decline</t>
  </si>
  <si>
    <t>EXT_DEF_013 (Food Security)</t>
  </si>
  <si>
    <t>Climate risk evidence</t>
  </si>
  <si>
    <t>Predictive analytics need</t>
  </si>
  <si>
    <t>Online penetration 27.2%</t>
  </si>
  <si>
    <t>EXT_ONS_002 (Retail Sales)</t>
  </si>
  <si>
    <t>Supports Ocado/Tesco focus</t>
  </si>
  <si>
    <t>Channel shift</t>
  </si>
  <si>
    <t>Real-time visibility need</t>
  </si>
  <si>
    <t>66% US consumers used AI in shopping</t>
  </si>
  <si>
    <t>EXT_BCG_001 (BCG)</t>
  </si>
  <si>
    <t>Consistent with Capgemini 58%</t>
  </si>
  <si>
    <t>Consumer AI adoption</t>
  </si>
  <si>
    <t>Shopping journey disruption</t>
  </si>
  <si>
    <t>40% retailers have senior AI roles</t>
  </si>
  <si>
    <t>EXT_BCG_002 (BCG)</t>
  </si>
  <si>
    <t>Cross-checks with BRC/Marsh</t>
  </si>
  <si>
    <t>Organizational response</t>
  </si>
  <si>
    <t>Talent scarcity</t>
  </si>
  <si>
    <t>AI agents for merchandising</t>
  </si>
  <si>
    <t>EXT_BCG_003 (BCG)</t>
  </si>
  <si>
    <t>Cross-checks with McKinsey</t>
  </si>
  <si>
    <t>Future state vision</t>
  </si>
  <si>
    <t>Agentic AI trend</t>
  </si>
  <si>
    <t>58% replaced search with GenAI</t>
  </si>
  <si>
    <t>EXT_CAP_001 (Capgemini)</t>
  </si>
  <si>
    <t>Discovery channel shift</t>
  </si>
  <si>
    <t>SEO to LLM</t>
  </si>
  <si>
    <t>70% willing to pay for quick delivery</t>
  </si>
  <si>
    <t>EXT_CAP_003 (Capgemini)</t>
  </si>
  <si>
    <t>Consistent with BRC</t>
  </si>
  <si>
    <t>Velocity value</t>
  </si>
  <si>
    <t>9% premium</t>
  </si>
  <si>
    <t>Green AI impact 12%→50%</t>
  </si>
  <si>
    <t>EXT_CAP_013 (Capgemini)</t>
  </si>
  <si>
    <t>Cross-checks with WRAP</t>
  </si>
  <si>
    <t>Tech sustainability driver</t>
  </si>
  <si>
    <t>Longitudinal growth</t>
  </si>
  <si>
    <t>23% higher margins for leaders</t>
  </si>
  <si>
    <t>EXT_ACC_007 (Accenture)</t>
  </si>
  <si>
    <t>Consistent with Capgemini</t>
  </si>
  <si>
    <t>ANCHOR METRIC</t>
  </si>
  <si>
    <t>Only 9% use AI widely</t>
  </si>
  <si>
    <t>EXT_ACC_009 (Accenture)</t>
  </si>
  <si>
    <t>Digital divide</t>
  </si>
  <si>
    <t>37% vs 6%</t>
  </si>
  <si>
    <t>1/3 companies at survival risk</t>
  </si>
  <si>
    <t>EXT_ACC_011 (Accenture)</t>
  </si>
  <si>
    <t>Cross-checks with Marsh</t>
  </si>
  <si>
    <t>Existential threat</t>
  </si>
  <si>
    <t>Maturity &lt;25%</t>
  </si>
  <si>
    <t>EXTRACTION SUMMARY STATISTICS</t>
  </si>
  <si>
    <t>Metric</t>
  </si>
  <si>
    <t>Count</t>
  </si>
  <si>
    <t>Total Extracts</t>
  </si>
  <si>
    <t>BY GEOGRAPHIC TIER</t>
  </si>
  <si>
    <t>BY THEME</t>
  </si>
  <si>
    <t>TH_01 (BD_Operational_Efficiency)</t>
  </si>
  <si>
    <t>TH_02 (BD_Cost_Reduction)</t>
  </si>
  <si>
    <t>TH_03 (Adoption_Barriers)</t>
  </si>
  <si>
    <t>TH_04 (Implementation_Enablers)</t>
  </si>
  <si>
    <t>TH_05 (Competitive_Dynamics)</t>
  </si>
  <si>
    <t>TH_06 (UK_Market_Context)</t>
  </si>
  <si>
    <t>BY CONFIDENCE LEVEL</t>
  </si>
  <si>
    <t>BY FRAMEWORK ALIGNMENT</t>
  </si>
  <si>
    <t>BY CONFIRMATION STATUS</t>
  </si>
  <si>
    <t>Pending</t>
  </si>
  <si>
    <t>Contradicted</t>
  </si>
  <si>
    <t>DROPDOWN VALIDATION REFERENCE</t>
  </si>
  <si>
    <t>Column</t>
  </si>
  <si>
    <t>Field</t>
  </si>
  <si>
    <t>Valid Values</t>
  </si>
  <si>
    <t>B</t>
  </si>
  <si>
    <t>Consultancy, Trade_Association, Government, Academic, Retailer, Vendor, News</t>
  </si>
  <si>
    <t>G</t>
  </si>
  <si>
    <t>UK, Europe, US, Global, Multiple</t>
  </si>
  <si>
    <t>H</t>
  </si>
  <si>
    <t>T1_UK_Specific, T2_UK_Applicable, T3_Transferable, T4_Conceptual</t>
  </si>
  <si>
    <t>I</t>
  </si>
  <si>
    <t>Yes, No, Partial, Unknown</t>
  </si>
  <si>
    <t>J</t>
  </si>
  <si>
    <t>Primary_Evidence, Supporting_Evidence, Comparative, Conceptual_Only</t>
  </si>
  <si>
    <t>Q</t>
  </si>
  <si>
    <t>First_Order, Second_Order, Mixed</t>
  </si>
  <si>
    <t>R</t>
  </si>
  <si>
    <t>TH_01, TH_02, TH_03, TH_04, TH_05, TH_06</t>
  </si>
  <si>
    <t>T</t>
  </si>
  <si>
    <t>TOE_Tech, TOE_Org, TOE_Env, SCOR_Plan, SCOR_Source, SCOR_Make, SCOR_Deliver, SCOR_Return, 5Vs_Volume, 5Vs_Velocity, 5Vs_Variety, 5Vs_Veracity, 5Vs_Value, Multiple, None</t>
  </si>
  <si>
    <t>U</t>
  </si>
  <si>
    <t>Verified, Pending, Cross_Check_Required, Rejected, Contradicted</t>
  </si>
  <si>
    <t>W</t>
  </si>
  <si>
    <t>High, Medium, Low</t>
  </si>
  <si>
    <t>Z</t>
  </si>
  <si>
    <t>Include, Exclude, Merge, Refine, Flagged</t>
  </si>
  <si>
    <t>everyone to fight food waste together. The Too Good To Go app is the world's largest marketplace for surplus food, and through it we sell our unsold food in 'Surprise Bags' for local users to collect in store. We have saved over 1 million Surprise Bags from going to waste since 2023 - an equivalent of more than 5,000 tonnes of food, and saved our customers over £9 million.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</si>
</sst>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rgb="FFFFFFFF"/>
      <name val="Cambria"/>
    </font>
    <font>
      <sz val="11.0"/>
      <color theme="1"/>
      <name val="Calibri"/>
    </font>
    <font>
      <color theme="1"/>
      <name val="Calibri"/>
    </font>
    <font>
      <color theme="1"/>
      <name val="Calibri"/>
      <scheme val="minor"/>
    </font>
    <font>
      <u/>
      <sz val="11.0"/>
      <color rgb="FF0000FF"/>
      <name val="Calibri"/>
    </font>
    <font>
      <b/>
      <sz val="14.0"/>
      <color rgb="FFFFFFFF"/>
      <name val="Cambria"/>
    </font>
    <font/>
    <font>
      <b/>
      <sz val="11.0"/>
      <color theme="1"/>
      <name val="Cambria"/>
    </font>
  </fonts>
  <fills count="6">
    <fill>
      <patternFill patternType="none"/>
    </fill>
    <fill>
      <patternFill patternType="lightGray"/>
    </fill>
    <fill>
      <patternFill patternType="solid">
        <fgColor rgb="FF1F4E79"/>
        <bgColor rgb="FF1F4E79"/>
      </patternFill>
    </fill>
    <fill>
      <patternFill patternType="solid">
        <fgColor rgb="FFCFE2F3"/>
        <bgColor rgb="FFCFE2F3"/>
      </patternFill>
    </fill>
    <fill>
      <patternFill patternType="solid">
        <fgColor rgb="FFFCE5CD"/>
        <bgColor rgb="FFFCE5CD"/>
      </patternFill>
    </fill>
    <fill>
      <patternFill patternType="solid">
        <fgColor rgb="FF2E75B6"/>
        <bgColor rgb="FF2E75B6"/>
      </patternFill>
    </fill>
  </fills>
  <borders count="6">
    <border/>
    <border>
      <left style="thin">
        <color rgb="FF000000"/>
      </left>
      <right style="thin">
        <color rgb="FF000000"/>
      </right>
      <top style="thin">
        <color rgb="FF000000"/>
      </top>
      <bottom style="thin">
        <color rgb="FF000000"/>
      </bottom>
    </border>
    <border>
      <left/>
      <right/>
      <top/>
      <bottom/>
    </border>
    <border>
      <left/>
      <top/>
      <bottom/>
    </border>
    <border>
      <top/>
      <bottom/>
    </border>
    <border>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Border="1" applyFill="1" applyFont="1"/>
    <xf borderId="1" fillId="3" fontId="2" numFmtId="0" xfId="0" applyAlignment="1" applyBorder="1" applyFont="1">
      <alignment shrinkToFit="0" vertical="top" wrapText="1"/>
    </xf>
    <xf borderId="2" fillId="3" fontId="2" numFmtId="0" xfId="0" applyBorder="1" applyFont="1"/>
    <xf borderId="1" fillId="4" fontId="2" numFmtId="0" xfId="0" applyBorder="1" applyFill="1" applyFont="1"/>
    <xf borderId="1" fillId="4" fontId="2" numFmtId="0" xfId="0" applyAlignment="1" applyBorder="1" applyFont="1">
      <alignment shrinkToFit="0" vertical="top" wrapText="1"/>
    </xf>
    <xf borderId="0" fillId="4" fontId="3" numFmtId="0" xfId="0" applyFont="1"/>
    <xf borderId="0" fillId="3" fontId="3" numFmtId="0" xfId="0" applyFont="1"/>
    <xf borderId="0" fillId="3" fontId="4" numFmtId="0" xfId="0" applyFont="1"/>
    <xf borderId="1" fillId="4" fontId="2" numFmtId="0" xfId="0" applyAlignment="1" applyBorder="1" applyFont="1">
      <alignment readingOrder="0"/>
    </xf>
    <xf borderId="0" fillId="4" fontId="4" numFmtId="0" xfId="0" applyAlignment="1" applyFont="1">
      <alignment readingOrder="0"/>
    </xf>
    <xf borderId="1" fillId="3" fontId="2" numFmtId="0" xfId="0" applyAlignment="1" applyBorder="1" applyFont="1">
      <alignment readingOrder="0"/>
    </xf>
    <xf borderId="0" fillId="3" fontId="4" numFmtId="0" xfId="0" applyAlignment="1" applyFont="1">
      <alignment readingOrder="0"/>
    </xf>
    <xf borderId="1" fillId="0" fontId="2" numFmtId="0" xfId="0" applyBorder="1" applyFont="1"/>
    <xf borderId="1" fillId="0" fontId="2" numFmtId="0" xfId="0" applyAlignment="1" applyBorder="1" applyFont="1">
      <alignment shrinkToFit="0" vertical="top" wrapText="1"/>
    </xf>
    <xf borderId="0" fillId="0" fontId="3" numFmtId="0" xfId="0" applyFont="1"/>
    <xf borderId="1" fillId="3" fontId="2" numFmtId="0" xfId="0" applyAlignment="1" applyBorder="1" applyFont="1">
      <alignment readingOrder="0" shrinkToFit="0" vertical="top" wrapText="1"/>
    </xf>
    <xf borderId="1" fillId="0" fontId="5" numFmtId="0" xfId="0" applyAlignment="1" applyBorder="1" applyFont="1">
      <alignment readingOrder="0"/>
    </xf>
    <xf borderId="0" fillId="0" fontId="2" numFmtId="0" xfId="0" applyFont="1"/>
    <xf borderId="3" fillId="2" fontId="6" numFmtId="0" xfId="0" applyBorder="1" applyFont="1"/>
    <xf borderId="4" fillId="0" fontId="7" numFmtId="0" xfId="0" applyBorder="1" applyFont="1"/>
    <xf borderId="5" fillId="0" fontId="7" numFmtId="0" xfId="0" applyBorder="1" applyFont="1"/>
    <xf borderId="1" fillId="5" fontId="1" numFmtId="0" xfId="0" applyBorder="1" applyFill="1" applyFont="1"/>
    <xf borderId="1" fillId="0" fontId="2" numFmtId="0" xfId="0" applyAlignment="1" applyBorder="1" applyFont="1">
      <alignment readingOrder="0" shrinkToFit="0" wrapText="1"/>
    </xf>
    <xf borderId="1" fillId="0" fontId="2" numFmtId="0" xfId="0" applyAlignment="1" applyBorder="1" applyFont="1">
      <alignment shrinkToFit="0" wrapText="1"/>
    </xf>
    <xf borderId="0" fillId="0" fontId="8" numFmtId="0" xfId="0" applyFont="1"/>
    <xf borderId="2" fillId="5" fontId="8" numFmtId="0" xfId="0" applyBorder="1" applyFont="1"/>
    <xf borderId="1" fillId="5" fontId="8" numFmtId="0" xfId="0" applyBorder="1"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relexsolutions.com/resources/solving-retails-400-billion-accuracy-proble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4.0"/>
    <col customWidth="1" min="2" max="2" width="16.0"/>
    <col customWidth="1" min="3" max="3" width="20.0"/>
    <col customWidth="1" min="4" max="4" width="45.0"/>
    <col customWidth="1" min="5" max="5" width="30.0"/>
    <col customWidth="1" min="6" max="6" width="6.0"/>
    <col customWidth="1" min="7" max="7" width="10.0"/>
    <col customWidth="1" min="8" max="8" width="18.0"/>
    <col customWidth="1" min="9" max="9" width="10.0"/>
    <col customWidth="1" min="10" max="10" width="18.0"/>
    <col customWidth="1" min="11" max="11" width="65.0"/>
    <col customWidth="1" min="12" max="12" width="18.0"/>
    <col customWidth="1" min="13" max="13" width="12.0"/>
    <col customWidth="1" min="14" max="16" width="28.0"/>
    <col customWidth="1" min="17" max="17" width="14.0"/>
    <col customWidth="1" min="18" max="18" width="16.0"/>
    <col customWidth="1" min="19" max="19" width="22.0"/>
    <col customWidth="1" min="20" max="20" width="20.0"/>
    <col customWidth="1" min="21" max="21" width="22.0"/>
    <col customWidth="1" min="22" max="22" width="45.0"/>
    <col customWidth="1" min="23" max="23" width="16.0"/>
    <col customWidth="1" min="24" max="24" width="55.0"/>
    <col customWidth="1" min="25" max="25" width="14.0"/>
    <col customWidth="1" min="26" max="26" width="16.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t="s">
        <v>27</v>
      </c>
      <c r="B2" s="2" t="s">
        <v>28</v>
      </c>
      <c r="C2" s="2" t="s">
        <v>29</v>
      </c>
      <c r="D2" s="2" t="s">
        <v>30</v>
      </c>
      <c r="E2" s="2" t="s">
        <v>31</v>
      </c>
      <c r="F2" s="2">
        <v>2024.0</v>
      </c>
      <c r="G2" s="2" t="s">
        <v>32</v>
      </c>
      <c r="H2" s="2" t="s">
        <v>33</v>
      </c>
      <c r="I2" s="2" t="s">
        <v>34</v>
      </c>
      <c r="J2" s="2" t="s">
        <v>35</v>
      </c>
      <c r="K2" s="3" t="s">
        <v>36</v>
      </c>
      <c r="L2" s="2" t="s">
        <v>37</v>
      </c>
      <c r="M2" s="2">
        <v>33.0</v>
      </c>
      <c r="N2" s="2" t="s">
        <v>38</v>
      </c>
      <c r="O2" s="2" t="s">
        <v>39</v>
      </c>
      <c r="P2" s="2" t="s">
        <v>40</v>
      </c>
      <c r="Q2" s="2" t="s">
        <v>41</v>
      </c>
      <c r="R2" s="2" t="s">
        <v>42</v>
      </c>
      <c r="S2" s="2" t="s">
        <v>43</v>
      </c>
      <c r="T2" s="2" t="s">
        <v>44</v>
      </c>
      <c r="U2" s="2" t="s">
        <v>45</v>
      </c>
      <c r="V2" s="2" t="s">
        <v>46</v>
      </c>
      <c r="W2" s="2" t="s">
        <v>47</v>
      </c>
      <c r="X2" s="3" t="s">
        <v>48</v>
      </c>
      <c r="Y2" s="2" t="s">
        <v>49</v>
      </c>
      <c r="Z2" s="2" t="s">
        <v>50</v>
      </c>
      <c r="AA2" s="4"/>
    </row>
    <row r="3">
      <c r="A3" s="2" t="s">
        <v>51</v>
      </c>
      <c r="B3" s="2" t="s">
        <v>28</v>
      </c>
      <c r="C3" s="2" t="s">
        <v>29</v>
      </c>
      <c r="D3" s="2" t="s">
        <v>30</v>
      </c>
      <c r="E3" s="2" t="s">
        <v>31</v>
      </c>
      <c r="F3" s="2">
        <v>2024.0</v>
      </c>
      <c r="G3" s="2" t="s">
        <v>32</v>
      </c>
      <c r="H3" s="2" t="s">
        <v>33</v>
      </c>
      <c r="I3" s="2" t="s">
        <v>34</v>
      </c>
      <c r="J3" s="2" t="s">
        <v>35</v>
      </c>
      <c r="K3" s="3" t="s">
        <v>52</v>
      </c>
      <c r="L3" s="2" t="s">
        <v>37</v>
      </c>
      <c r="M3" s="2">
        <v>29.0</v>
      </c>
      <c r="N3" s="2" t="s">
        <v>53</v>
      </c>
      <c r="O3" s="2" t="s">
        <v>54</v>
      </c>
      <c r="P3" s="2" t="s">
        <v>55</v>
      </c>
      <c r="Q3" s="2" t="s">
        <v>41</v>
      </c>
      <c r="R3" s="2" t="s">
        <v>56</v>
      </c>
      <c r="S3" s="2" t="s">
        <v>57</v>
      </c>
      <c r="T3" s="2" t="s">
        <v>58</v>
      </c>
      <c r="U3" s="2" t="s">
        <v>45</v>
      </c>
      <c r="V3" s="2" t="s">
        <v>59</v>
      </c>
      <c r="W3" s="2" t="s">
        <v>47</v>
      </c>
      <c r="X3" s="3" t="s">
        <v>60</v>
      </c>
      <c r="Y3" s="2" t="s">
        <v>49</v>
      </c>
      <c r="Z3" s="2" t="s">
        <v>50</v>
      </c>
      <c r="AA3" s="4"/>
    </row>
    <row r="4">
      <c r="A4" s="5" t="s">
        <v>61</v>
      </c>
      <c r="B4" s="5" t="s">
        <v>28</v>
      </c>
      <c r="C4" s="5" t="s">
        <v>29</v>
      </c>
      <c r="D4" s="5" t="s">
        <v>30</v>
      </c>
      <c r="E4" s="5" t="s">
        <v>31</v>
      </c>
      <c r="F4" s="5">
        <v>2024.0</v>
      </c>
      <c r="G4" s="5" t="s">
        <v>32</v>
      </c>
      <c r="H4" s="5" t="s">
        <v>33</v>
      </c>
      <c r="I4" s="5" t="s">
        <v>34</v>
      </c>
      <c r="J4" s="5" t="s">
        <v>35</v>
      </c>
      <c r="K4" s="6" t="s">
        <v>62</v>
      </c>
      <c r="L4" s="5" t="s">
        <v>63</v>
      </c>
      <c r="M4" s="5">
        <v>19.0</v>
      </c>
      <c r="N4" s="5" t="s">
        <v>64</v>
      </c>
      <c r="O4" s="5" t="s">
        <v>65</v>
      </c>
      <c r="P4" s="5" t="s">
        <v>66</v>
      </c>
      <c r="Q4" s="5" t="s">
        <v>41</v>
      </c>
      <c r="R4" s="5" t="s">
        <v>42</v>
      </c>
      <c r="S4" s="5" t="s">
        <v>67</v>
      </c>
      <c r="T4" s="5" t="s">
        <v>68</v>
      </c>
      <c r="U4" s="5" t="s">
        <v>45</v>
      </c>
      <c r="V4" s="5" t="s">
        <v>46</v>
      </c>
      <c r="W4" s="5" t="s">
        <v>47</v>
      </c>
      <c r="X4" s="6" t="s">
        <v>69</v>
      </c>
      <c r="Y4" s="5" t="s">
        <v>49</v>
      </c>
      <c r="Z4" s="5" t="s">
        <v>70</v>
      </c>
      <c r="AA4" s="7" t="s">
        <v>71</v>
      </c>
    </row>
    <row r="5">
      <c r="A5" s="5" t="s">
        <v>72</v>
      </c>
      <c r="B5" s="5" t="s">
        <v>28</v>
      </c>
      <c r="C5" s="5" t="s">
        <v>29</v>
      </c>
      <c r="D5" s="5" t="s">
        <v>30</v>
      </c>
      <c r="E5" s="5" t="s">
        <v>31</v>
      </c>
      <c r="F5" s="5">
        <v>2024.0</v>
      </c>
      <c r="G5" s="5" t="s">
        <v>32</v>
      </c>
      <c r="H5" s="5" t="s">
        <v>33</v>
      </c>
      <c r="I5" s="5" t="s">
        <v>34</v>
      </c>
      <c r="J5" s="5" t="s">
        <v>35</v>
      </c>
      <c r="K5" s="6" t="s">
        <v>73</v>
      </c>
      <c r="L5" s="5" t="s">
        <v>74</v>
      </c>
      <c r="M5" s="5">
        <v>36.0</v>
      </c>
      <c r="N5" s="5" t="s">
        <v>75</v>
      </c>
      <c r="O5" s="5" t="s">
        <v>76</v>
      </c>
      <c r="P5" s="5" t="s">
        <v>77</v>
      </c>
      <c r="Q5" s="5" t="s">
        <v>41</v>
      </c>
      <c r="R5" s="5" t="s">
        <v>78</v>
      </c>
      <c r="S5" s="5" t="s">
        <v>79</v>
      </c>
      <c r="T5" s="5" t="s">
        <v>44</v>
      </c>
      <c r="U5" s="5" t="s">
        <v>45</v>
      </c>
      <c r="V5" s="5" t="s">
        <v>80</v>
      </c>
      <c r="W5" s="5" t="s">
        <v>47</v>
      </c>
      <c r="X5" s="6" t="s">
        <v>81</v>
      </c>
      <c r="Y5" s="5" t="s">
        <v>49</v>
      </c>
      <c r="Z5" s="5" t="s">
        <v>70</v>
      </c>
      <c r="AA5" s="7" t="s">
        <v>82</v>
      </c>
    </row>
    <row r="6">
      <c r="A6" s="5" t="s">
        <v>83</v>
      </c>
      <c r="B6" s="5" t="s">
        <v>28</v>
      </c>
      <c r="C6" s="5" t="s">
        <v>29</v>
      </c>
      <c r="D6" s="5" t="s">
        <v>30</v>
      </c>
      <c r="E6" s="5" t="s">
        <v>31</v>
      </c>
      <c r="F6" s="5">
        <v>2024.0</v>
      </c>
      <c r="G6" s="5" t="s">
        <v>32</v>
      </c>
      <c r="H6" s="5" t="s">
        <v>33</v>
      </c>
      <c r="I6" s="5" t="s">
        <v>34</v>
      </c>
      <c r="J6" s="5" t="s">
        <v>35</v>
      </c>
      <c r="K6" s="6" t="s">
        <v>84</v>
      </c>
      <c r="L6" s="5" t="s">
        <v>85</v>
      </c>
      <c r="M6" s="5">
        <v>28.0</v>
      </c>
      <c r="N6" s="5" t="s">
        <v>86</v>
      </c>
      <c r="O6" s="5" t="s">
        <v>87</v>
      </c>
      <c r="P6" s="5" t="s">
        <v>88</v>
      </c>
      <c r="Q6" s="5" t="s">
        <v>41</v>
      </c>
      <c r="R6" s="5" t="s">
        <v>78</v>
      </c>
      <c r="S6" s="5" t="s">
        <v>89</v>
      </c>
      <c r="T6" s="5" t="s">
        <v>90</v>
      </c>
      <c r="U6" s="5" t="s">
        <v>45</v>
      </c>
      <c r="V6" s="5" t="s">
        <v>91</v>
      </c>
      <c r="W6" s="5" t="s">
        <v>47</v>
      </c>
      <c r="X6" s="6" t="s">
        <v>92</v>
      </c>
      <c r="Y6" s="5" t="s">
        <v>49</v>
      </c>
      <c r="Z6" s="5" t="s">
        <v>70</v>
      </c>
      <c r="AA6" s="7" t="s">
        <v>93</v>
      </c>
    </row>
    <row r="7">
      <c r="A7" s="2" t="s">
        <v>94</v>
      </c>
      <c r="B7" s="2" t="s">
        <v>28</v>
      </c>
      <c r="C7" s="2" t="s">
        <v>95</v>
      </c>
      <c r="D7" s="2" t="s">
        <v>96</v>
      </c>
      <c r="E7" s="2" t="s">
        <v>97</v>
      </c>
      <c r="F7" s="2">
        <v>2024.0</v>
      </c>
      <c r="G7" s="2" t="s">
        <v>32</v>
      </c>
      <c r="H7" s="2" t="s">
        <v>33</v>
      </c>
      <c r="I7" s="2" t="s">
        <v>34</v>
      </c>
      <c r="J7" s="2" t="s">
        <v>35</v>
      </c>
      <c r="K7" s="3" t="s">
        <v>98</v>
      </c>
      <c r="L7" s="2" t="s">
        <v>99</v>
      </c>
      <c r="M7" s="2">
        <v>20.0</v>
      </c>
      <c r="N7" s="2" t="s">
        <v>100</v>
      </c>
      <c r="O7" s="2" t="s">
        <v>101</v>
      </c>
      <c r="P7" s="2" t="s">
        <v>102</v>
      </c>
      <c r="Q7" s="2" t="s">
        <v>41</v>
      </c>
      <c r="R7" s="2" t="s">
        <v>78</v>
      </c>
      <c r="S7" s="2" t="s">
        <v>103</v>
      </c>
      <c r="T7" s="2" t="s">
        <v>104</v>
      </c>
      <c r="U7" s="2" t="s">
        <v>45</v>
      </c>
      <c r="V7" s="2" t="s">
        <v>105</v>
      </c>
      <c r="W7" s="2" t="s">
        <v>47</v>
      </c>
      <c r="X7" s="3" t="s">
        <v>106</v>
      </c>
      <c r="Y7" s="2" t="s">
        <v>49</v>
      </c>
      <c r="Z7" s="2" t="s">
        <v>50</v>
      </c>
      <c r="AA7" s="8"/>
    </row>
    <row r="8">
      <c r="A8" s="5" t="s">
        <v>107</v>
      </c>
      <c r="B8" s="5" t="s">
        <v>28</v>
      </c>
      <c r="C8" s="5" t="s">
        <v>95</v>
      </c>
      <c r="D8" s="5" t="s">
        <v>96</v>
      </c>
      <c r="E8" s="5" t="s">
        <v>97</v>
      </c>
      <c r="F8" s="5">
        <v>2024.0</v>
      </c>
      <c r="G8" s="5" t="s">
        <v>32</v>
      </c>
      <c r="H8" s="5" t="s">
        <v>33</v>
      </c>
      <c r="I8" s="5" t="s">
        <v>34</v>
      </c>
      <c r="J8" s="5" t="s">
        <v>35</v>
      </c>
      <c r="K8" s="6" t="s">
        <v>108</v>
      </c>
      <c r="L8" s="5" t="s">
        <v>109</v>
      </c>
      <c r="M8" s="5">
        <v>44.0</v>
      </c>
      <c r="N8" s="5" t="s">
        <v>110</v>
      </c>
      <c r="O8" s="5" t="s">
        <v>111</v>
      </c>
      <c r="P8" s="5" t="s">
        <v>112</v>
      </c>
      <c r="Q8" s="5" t="s">
        <v>41</v>
      </c>
      <c r="R8" s="5" t="s">
        <v>42</v>
      </c>
      <c r="S8" s="5" t="s">
        <v>43</v>
      </c>
      <c r="T8" s="5" t="s">
        <v>44</v>
      </c>
      <c r="U8" s="5" t="s">
        <v>45</v>
      </c>
      <c r="V8" s="5" t="s">
        <v>46</v>
      </c>
      <c r="W8" s="5" t="s">
        <v>47</v>
      </c>
      <c r="X8" s="6" t="s">
        <v>113</v>
      </c>
      <c r="Y8" s="5" t="s">
        <v>49</v>
      </c>
      <c r="Z8" s="5" t="s">
        <v>70</v>
      </c>
      <c r="AA8" s="7" t="s">
        <v>114</v>
      </c>
    </row>
    <row r="9">
      <c r="A9" s="2" t="s">
        <v>115</v>
      </c>
      <c r="B9" s="2" t="s">
        <v>28</v>
      </c>
      <c r="C9" s="2" t="s">
        <v>95</v>
      </c>
      <c r="D9" s="2" t="s">
        <v>96</v>
      </c>
      <c r="E9" s="2" t="s">
        <v>97</v>
      </c>
      <c r="F9" s="2">
        <v>2024.0</v>
      </c>
      <c r="G9" s="2" t="s">
        <v>32</v>
      </c>
      <c r="H9" s="2" t="s">
        <v>33</v>
      </c>
      <c r="I9" s="2" t="s">
        <v>34</v>
      </c>
      <c r="J9" s="2" t="s">
        <v>35</v>
      </c>
      <c r="K9" s="3" t="s">
        <v>116</v>
      </c>
      <c r="L9" s="2" t="s">
        <v>117</v>
      </c>
      <c r="M9" s="2">
        <v>27.0</v>
      </c>
      <c r="N9" s="2" t="s">
        <v>118</v>
      </c>
      <c r="O9" s="2" t="s">
        <v>119</v>
      </c>
      <c r="P9" s="2" t="s">
        <v>120</v>
      </c>
      <c r="Q9" s="2" t="s">
        <v>121</v>
      </c>
      <c r="R9" s="2" t="s">
        <v>78</v>
      </c>
      <c r="S9" s="2" t="s">
        <v>79</v>
      </c>
      <c r="T9" s="2" t="s">
        <v>104</v>
      </c>
      <c r="U9" s="2" t="s">
        <v>45</v>
      </c>
      <c r="V9" s="2" t="s">
        <v>46</v>
      </c>
      <c r="W9" s="2" t="s">
        <v>47</v>
      </c>
      <c r="X9" s="3" t="s">
        <v>122</v>
      </c>
      <c r="Y9" s="2" t="s">
        <v>49</v>
      </c>
      <c r="Z9" s="2" t="s">
        <v>50</v>
      </c>
      <c r="AA9" s="8"/>
    </row>
    <row r="10">
      <c r="A10" s="5" t="s">
        <v>123</v>
      </c>
      <c r="B10" s="5" t="s">
        <v>28</v>
      </c>
      <c r="C10" s="5" t="s">
        <v>95</v>
      </c>
      <c r="D10" s="5" t="s">
        <v>96</v>
      </c>
      <c r="E10" s="5" t="s">
        <v>97</v>
      </c>
      <c r="F10" s="5">
        <v>2024.0</v>
      </c>
      <c r="G10" s="5" t="s">
        <v>32</v>
      </c>
      <c r="H10" s="5" t="s">
        <v>33</v>
      </c>
      <c r="I10" s="5" t="s">
        <v>34</v>
      </c>
      <c r="J10" s="5" t="s">
        <v>35</v>
      </c>
      <c r="K10" s="6" t="s">
        <v>124</v>
      </c>
      <c r="L10" s="5" t="s">
        <v>125</v>
      </c>
      <c r="M10" s="5">
        <v>18.0</v>
      </c>
      <c r="N10" s="5" t="s">
        <v>126</v>
      </c>
      <c r="O10" s="5" t="s">
        <v>127</v>
      </c>
      <c r="P10" s="5" t="s">
        <v>55</v>
      </c>
      <c r="Q10" s="5" t="s">
        <v>41</v>
      </c>
      <c r="R10" s="5" t="s">
        <v>56</v>
      </c>
      <c r="S10" s="5" t="s">
        <v>57</v>
      </c>
      <c r="T10" s="5" t="s">
        <v>128</v>
      </c>
      <c r="U10" s="5" t="s">
        <v>45</v>
      </c>
      <c r="V10" s="5" t="s">
        <v>129</v>
      </c>
      <c r="W10" s="5" t="s">
        <v>47</v>
      </c>
      <c r="X10" s="6" t="s">
        <v>130</v>
      </c>
      <c r="Y10" s="5" t="s">
        <v>49</v>
      </c>
      <c r="Z10" s="5" t="s">
        <v>70</v>
      </c>
      <c r="AA10" s="7" t="s">
        <v>131</v>
      </c>
    </row>
    <row r="11">
      <c r="A11" s="5" t="s">
        <v>132</v>
      </c>
      <c r="B11" s="5" t="s">
        <v>28</v>
      </c>
      <c r="C11" s="5" t="s">
        <v>95</v>
      </c>
      <c r="D11" s="5" t="s">
        <v>96</v>
      </c>
      <c r="E11" s="5" t="s">
        <v>97</v>
      </c>
      <c r="F11" s="5">
        <v>2024.0</v>
      </c>
      <c r="G11" s="5" t="s">
        <v>32</v>
      </c>
      <c r="H11" s="5" t="s">
        <v>33</v>
      </c>
      <c r="I11" s="5" t="s">
        <v>34</v>
      </c>
      <c r="J11" s="5" t="s">
        <v>35</v>
      </c>
      <c r="K11" s="6" t="s">
        <v>133</v>
      </c>
      <c r="L11" s="5" t="s">
        <v>134</v>
      </c>
      <c r="M11" s="5">
        <v>41.0</v>
      </c>
      <c r="N11" s="5" t="s">
        <v>135</v>
      </c>
      <c r="O11" s="5" t="s">
        <v>136</v>
      </c>
      <c r="P11" s="5" t="s">
        <v>137</v>
      </c>
      <c r="Q11" s="5" t="s">
        <v>41</v>
      </c>
      <c r="R11" s="5" t="s">
        <v>42</v>
      </c>
      <c r="S11" s="5" t="s">
        <v>138</v>
      </c>
      <c r="T11" s="5" t="s">
        <v>139</v>
      </c>
      <c r="U11" s="5" t="s">
        <v>140</v>
      </c>
      <c r="V11" s="5" t="s">
        <v>141</v>
      </c>
      <c r="W11" s="5" t="s">
        <v>47</v>
      </c>
      <c r="X11" s="6" t="s">
        <v>142</v>
      </c>
      <c r="Y11" s="5" t="s">
        <v>49</v>
      </c>
      <c r="Z11" s="5" t="s">
        <v>70</v>
      </c>
      <c r="AA11" s="7" t="s">
        <v>143</v>
      </c>
    </row>
    <row r="12">
      <c r="A12" s="2" t="s">
        <v>144</v>
      </c>
      <c r="B12" s="2" t="s">
        <v>28</v>
      </c>
      <c r="C12" s="2" t="s">
        <v>145</v>
      </c>
      <c r="D12" s="2" t="s">
        <v>146</v>
      </c>
      <c r="E12" s="2" t="s">
        <v>147</v>
      </c>
      <c r="F12" s="2">
        <v>2024.0</v>
      </c>
      <c r="G12" s="2" t="s">
        <v>32</v>
      </c>
      <c r="H12" s="2" t="s">
        <v>33</v>
      </c>
      <c r="I12" s="2" t="s">
        <v>34</v>
      </c>
      <c r="J12" s="2" t="s">
        <v>35</v>
      </c>
      <c r="K12" s="3" t="s">
        <v>148</v>
      </c>
      <c r="L12" s="2" t="s">
        <v>149</v>
      </c>
      <c r="M12" s="2">
        <v>20.0</v>
      </c>
      <c r="N12" s="2" t="s">
        <v>150</v>
      </c>
      <c r="O12" s="2" t="s">
        <v>151</v>
      </c>
      <c r="P12" s="2" t="s">
        <v>152</v>
      </c>
      <c r="Q12" s="2" t="s">
        <v>41</v>
      </c>
      <c r="R12" s="2" t="s">
        <v>42</v>
      </c>
      <c r="S12" s="2" t="s">
        <v>153</v>
      </c>
      <c r="T12" s="2" t="s">
        <v>44</v>
      </c>
      <c r="U12" s="2" t="s">
        <v>45</v>
      </c>
      <c r="V12" s="2" t="s">
        <v>46</v>
      </c>
      <c r="W12" s="2" t="s">
        <v>47</v>
      </c>
      <c r="X12" s="3" t="s">
        <v>154</v>
      </c>
      <c r="Y12" s="2" t="s">
        <v>49</v>
      </c>
      <c r="Z12" s="2" t="s">
        <v>50</v>
      </c>
      <c r="AA12" s="8"/>
    </row>
    <row r="13">
      <c r="A13" s="2" t="s">
        <v>155</v>
      </c>
      <c r="B13" s="2" t="s">
        <v>28</v>
      </c>
      <c r="C13" s="2" t="s">
        <v>145</v>
      </c>
      <c r="D13" s="2" t="s">
        <v>146</v>
      </c>
      <c r="E13" s="2" t="s">
        <v>147</v>
      </c>
      <c r="F13" s="2">
        <v>2024.0</v>
      </c>
      <c r="G13" s="2" t="s">
        <v>32</v>
      </c>
      <c r="H13" s="2" t="s">
        <v>33</v>
      </c>
      <c r="I13" s="2" t="s">
        <v>34</v>
      </c>
      <c r="J13" s="2" t="s">
        <v>35</v>
      </c>
      <c r="K13" s="3" t="s">
        <v>156</v>
      </c>
      <c r="L13" s="2" t="s">
        <v>149</v>
      </c>
      <c r="M13" s="2">
        <v>33.0</v>
      </c>
      <c r="N13" s="2" t="s">
        <v>157</v>
      </c>
      <c r="O13" s="2" t="s">
        <v>158</v>
      </c>
      <c r="P13" s="2" t="s">
        <v>159</v>
      </c>
      <c r="Q13" s="2" t="s">
        <v>41</v>
      </c>
      <c r="R13" s="2" t="s">
        <v>42</v>
      </c>
      <c r="S13" s="2" t="s">
        <v>43</v>
      </c>
      <c r="T13" s="2" t="s">
        <v>160</v>
      </c>
      <c r="U13" s="2" t="s">
        <v>45</v>
      </c>
      <c r="V13" s="2" t="s">
        <v>161</v>
      </c>
      <c r="W13" s="2" t="s">
        <v>47</v>
      </c>
      <c r="X13" s="3" t="s">
        <v>162</v>
      </c>
      <c r="Y13" s="2" t="s">
        <v>49</v>
      </c>
      <c r="Z13" s="2" t="s">
        <v>50</v>
      </c>
      <c r="AA13" s="8"/>
    </row>
    <row r="14" ht="54.0" customHeight="1">
      <c r="A14" s="2" t="s">
        <v>163</v>
      </c>
      <c r="B14" s="2" t="s">
        <v>28</v>
      </c>
      <c r="C14" s="2" t="s">
        <v>145</v>
      </c>
      <c r="D14" s="2" t="s">
        <v>146</v>
      </c>
      <c r="E14" s="2" t="s">
        <v>147</v>
      </c>
      <c r="F14" s="2">
        <v>2024.0</v>
      </c>
      <c r="G14" s="2" t="s">
        <v>32</v>
      </c>
      <c r="H14" s="2" t="s">
        <v>33</v>
      </c>
      <c r="I14" s="2" t="s">
        <v>34</v>
      </c>
      <c r="J14" s="2" t="s">
        <v>35</v>
      </c>
      <c r="K14" s="3" t="s">
        <v>164</v>
      </c>
      <c r="L14" s="2" t="s">
        <v>165</v>
      </c>
      <c r="M14" s="2">
        <v>19.0</v>
      </c>
      <c r="N14" s="2" t="s">
        <v>166</v>
      </c>
      <c r="O14" s="2" t="s">
        <v>167</v>
      </c>
      <c r="P14" s="2" t="s">
        <v>168</v>
      </c>
      <c r="Q14" s="2" t="s">
        <v>41</v>
      </c>
      <c r="R14" s="2" t="s">
        <v>78</v>
      </c>
      <c r="S14" s="2" t="s">
        <v>79</v>
      </c>
      <c r="T14" s="2" t="s">
        <v>104</v>
      </c>
      <c r="U14" s="2" t="s">
        <v>45</v>
      </c>
      <c r="V14" s="2" t="s">
        <v>169</v>
      </c>
      <c r="W14" s="2" t="s">
        <v>47</v>
      </c>
      <c r="X14" s="3" t="s">
        <v>170</v>
      </c>
      <c r="Y14" s="2" t="s">
        <v>49</v>
      </c>
      <c r="Z14" s="2" t="s">
        <v>50</v>
      </c>
      <c r="AA14" s="8"/>
    </row>
    <row r="15">
      <c r="A15" s="2" t="s">
        <v>171</v>
      </c>
      <c r="B15" s="2" t="s">
        <v>28</v>
      </c>
      <c r="C15" s="2" t="s">
        <v>145</v>
      </c>
      <c r="D15" s="2" t="s">
        <v>146</v>
      </c>
      <c r="E15" s="2" t="s">
        <v>147</v>
      </c>
      <c r="F15" s="2">
        <v>2024.0</v>
      </c>
      <c r="G15" s="2" t="s">
        <v>32</v>
      </c>
      <c r="H15" s="2" t="s">
        <v>33</v>
      </c>
      <c r="I15" s="2" t="s">
        <v>34</v>
      </c>
      <c r="J15" s="2" t="s">
        <v>35</v>
      </c>
      <c r="K15" s="3" t="s">
        <v>172</v>
      </c>
      <c r="L15" s="2" t="s">
        <v>173</v>
      </c>
      <c r="M15" s="2">
        <v>16.0</v>
      </c>
      <c r="N15" s="2" t="s">
        <v>174</v>
      </c>
      <c r="O15" s="2" t="s">
        <v>175</v>
      </c>
      <c r="P15" s="2" t="s">
        <v>176</v>
      </c>
      <c r="Q15" s="2" t="s">
        <v>41</v>
      </c>
      <c r="R15" s="2" t="s">
        <v>56</v>
      </c>
      <c r="S15" s="2" t="s">
        <v>177</v>
      </c>
      <c r="T15" s="2" t="s">
        <v>178</v>
      </c>
      <c r="U15" s="2" t="s">
        <v>45</v>
      </c>
      <c r="V15" s="2" t="s">
        <v>179</v>
      </c>
      <c r="W15" s="2" t="s">
        <v>47</v>
      </c>
      <c r="X15" s="3" t="s">
        <v>180</v>
      </c>
      <c r="Y15" s="2" t="s">
        <v>49</v>
      </c>
      <c r="Z15" s="2" t="s">
        <v>50</v>
      </c>
      <c r="AA15" s="9"/>
    </row>
    <row r="16">
      <c r="A16" s="2" t="s">
        <v>181</v>
      </c>
      <c r="B16" s="2" t="s">
        <v>28</v>
      </c>
      <c r="C16" s="2" t="s">
        <v>145</v>
      </c>
      <c r="D16" s="2" t="s">
        <v>146</v>
      </c>
      <c r="E16" s="2" t="s">
        <v>147</v>
      </c>
      <c r="F16" s="2">
        <v>2024.0</v>
      </c>
      <c r="G16" s="2" t="s">
        <v>32</v>
      </c>
      <c r="H16" s="2" t="s">
        <v>33</v>
      </c>
      <c r="I16" s="2" t="s">
        <v>34</v>
      </c>
      <c r="J16" s="2" t="s">
        <v>35</v>
      </c>
      <c r="K16" s="3" t="s">
        <v>182</v>
      </c>
      <c r="L16" s="2" t="s">
        <v>183</v>
      </c>
      <c r="M16" s="2">
        <v>21.0</v>
      </c>
      <c r="N16" s="2" t="s">
        <v>184</v>
      </c>
      <c r="O16" s="2" t="s">
        <v>185</v>
      </c>
      <c r="P16" s="2" t="s">
        <v>186</v>
      </c>
      <c r="Q16" s="2" t="s">
        <v>121</v>
      </c>
      <c r="R16" s="2" t="s">
        <v>56</v>
      </c>
      <c r="S16" s="2" t="s">
        <v>187</v>
      </c>
      <c r="T16" s="2" t="s">
        <v>188</v>
      </c>
      <c r="U16" s="2" t="s">
        <v>45</v>
      </c>
      <c r="V16" s="2" t="s">
        <v>46</v>
      </c>
      <c r="W16" s="2" t="s">
        <v>47</v>
      </c>
      <c r="X16" s="3" t="s">
        <v>189</v>
      </c>
      <c r="Y16" s="2" t="s">
        <v>49</v>
      </c>
      <c r="Z16" s="2" t="s">
        <v>50</v>
      </c>
      <c r="AA16" s="9"/>
    </row>
    <row r="17">
      <c r="A17" s="5" t="s">
        <v>190</v>
      </c>
      <c r="B17" s="5" t="s">
        <v>28</v>
      </c>
      <c r="C17" s="5" t="s">
        <v>145</v>
      </c>
      <c r="D17" s="5" t="s">
        <v>191</v>
      </c>
      <c r="E17" s="5" t="s">
        <v>192</v>
      </c>
      <c r="F17" s="5">
        <v>2025.0</v>
      </c>
      <c r="G17" s="5" t="s">
        <v>32</v>
      </c>
      <c r="H17" s="5" t="s">
        <v>33</v>
      </c>
      <c r="I17" s="5" t="s">
        <v>34</v>
      </c>
      <c r="J17" s="5" t="s">
        <v>35</v>
      </c>
      <c r="K17" s="6" t="s">
        <v>193</v>
      </c>
      <c r="L17" s="5" t="s">
        <v>194</v>
      </c>
      <c r="M17" s="5">
        <v>33.0</v>
      </c>
      <c r="N17" s="5" t="s">
        <v>195</v>
      </c>
      <c r="O17" s="5" t="s">
        <v>196</v>
      </c>
      <c r="P17" s="5" t="s">
        <v>197</v>
      </c>
      <c r="Q17" s="5" t="s">
        <v>41</v>
      </c>
      <c r="R17" s="5" t="s">
        <v>78</v>
      </c>
      <c r="S17" s="5" t="s">
        <v>89</v>
      </c>
      <c r="T17" s="5" t="s">
        <v>198</v>
      </c>
      <c r="U17" s="5" t="s">
        <v>45</v>
      </c>
      <c r="V17" s="5" t="s">
        <v>46</v>
      </c>
      <c r="W17" s="5" t="s">
        <v>47</v>
      </c>
      <c r="X17" s="6" t="s">
        <v>199</v>
      </c>
      <c r="Y17" s="5" t="s">
        <v>49</v>
      </c>
      <c r="Z17" s="10" t="s">
        <v>70</v>
      </c>
      <c r="AA17" s="11" t="s">
        <v>200</v>
      </c>
    </row>
    <row r="18">
      <c r="A18" s="5" t="s">
        <v>201</v>
      </c>
      <c r="B18" s="5" t="s">
        <v>28</v>
      </c>
      <c r="C18" s="5" t="s">
        <v>145</v>
      </c>
      <c r="D18" s="5" t="s">
        <v>191</v>
      </c>
      <c r="E18" s="5" t="s">
        <v>192</v>
      </c>
      <c r="F18" s="5">
        <v>2025.0</v>
      </c>
      <c r="G18" s="5" t="s">
        <v>32</v>
      </c>
      <c r="H18" s="5" t="s">
        <v>33</v>
      </c>
      <c r="I18" s="5" t="s">
        <v>34</v>
      </c>
      <c r="J18" s="5" t="s">
        <v>35</v>
      </c>
      <c r="K18" s="6" t="s">
        <v>202</v>
      </c>
      <c r="L18" s="5" t="s">
        <v>203</v>
      </c>
      <c r="M18" s="5">
        <v>25.0</v>
      </c>
      <c r="N18" s="5" t="s">
        <v>204</v>
      </c>
      <c r="O18" s="5" t="s">
        <v>205</v>
      </c>
      <c r="P18" s="5" t="s">
        <v>66</v>
      </c>
      <c r="Q18" s="5" t="s">
        <v>41</v>
      </c>
      <c r="R18" s="5" t="s">
        <v>42</v>
      </c>
      <c r="S18" s="5" t="s">
        <v>67</v>
      </c>
      <c r="T18" s="5" t="s">
        <v>68</v>
      </c>
      <c r="U18" s="5" t="s">
        <v>45</v>
      </c>
      <c r="V18" s="5" t="s">
        <v>206</v>
      </c>
      <c r="W18" s="5" t="s">
        <v>47</v>
      </c>
      <c r="X18" s="6" t="s">
        <v>207</v>
      </c>
      <c r="Y18" s="5" t="s">
        <v>49</v>
      </c>
      <c r="Z18" s="10" t="s">
        <v>70</v>
      </c>
      <c r="AA18" s="11" t="s">
        <v>208</v>
      </c>
    </row>
    <row r="19">
      <c r="A19" s="5" t="s">
        <v>209</v>
      </c>
      <c r="B19" s="5" t="s">
        <v>28</v>
      </c>
      <c r="C19" s="5" t="s">
        <v>145</v>
      </c>
      <c r="D19" s="5" t="s">
        <v>191</v>
      </c>
      <c r="E19" s="5" t="s">
        <v>192</v>
      </c>
      <c r="F19" s="5">
        <v>2025.0</v>
      </c>
      <c r="G19" s="5" t="s">
        <v>32</v>
      </c>
      <c r="H19" s="5" t="s">
        <v>33</v>
      </c>
      <c r="I19" s="5" t="s">
        <v>34</v>
      </c>
      <c r="J19" s="5" t="s">
        <v>35</v>
      </c>
      <c r="K19" s="6" t="s">
        <v>210</v>
      </c>
      <c r="L19" s="5" t="s">
        <v>211</v>
      </c>
      <c r="M19" s="5">
        <v>34.0</v>
      </c>
      <c r="N19" s="5" t="s">
        <v>212</v>
      </c>
      <c r="O19" s="5" t="s">
        <v>213</v>
      </c>
      <c r="P19" s="5" t="s">
        <v>214</v>
      </c>
      <c r="Q19" s="5" t="s">
        <v>41</v>
      </c>
      <c r="R19" s="5" t="s">
        <v>78</v>
      </c>
      <c r="S19" s="5" t="s">
        <v>79</v>
      </c>
      <c r="T19" s="5" t="s">
        <v>44</v>
      </c>
      <c r="U19" s="5" t="s">
        <v>45</v>
      </c>
      <c r="V19" s="5" t="s">
        <v>46</v>
      </c>
      <c r="W19" s="5" t="s">
        <v>47</v>
      </c>
      <c r="X19" s="6" t="s">
        <v>215</v>
      </c>
      <c r="Y19" s="5" t="s">
        <v>49</v>
      </c>
      <c r="Z19" s="10" t="s">
        <v>70</v>
      </c>
      <c r="AA19" s="11" t="s">
        <v>216</v>
      </c>
    </row>
    <row r="20">
      <c r="A20" s="2" t="s">
        <v>217</v>
      </c>
      <c r="B20" s="2" t="s">
        <v>28</v>
      </c>
      <c r="C20" s="2" t="s">
        <v>145</v>
      </c>
      <c r="D20" s="2" t="s">
        <v>191</v>
      </c>
      <c r="E20" s="2" t="s">
        <v>192</v>
      </c>
      <c r="F20" s="2">
        <v>2025.0</v>
      </c>
      <c r="G20" s="2" t="s">
        <v>32</v>
      </c>
      <c r="H20" s="2" t="s">
        <v>33</v>
      </c>
      <c r="I20" s="2" t="s">
        <v>34</v>
      </c>
      <c r="J20" s="2" t="s">
        <v>35</v>
      </c>
      <c r="K20" s="3" t="s">
        <v>218</v>
      </c>
      <c r="L20" s="12" t="s">
        <v>219</v>
      </c>
      <c r="M20" s="2">
        <v>19.0</v>
      </c>
      <c r="N20" s="2" t="s">
        <v>220</v>
      </c>
      <c r="O20" s="2" t="s">
        <v>221</v>
      </c>
      <c r="P20" s="2" t="s">
        <v>222</v>
      </c>
      <c r="Q20" s="2" t="s">
        <v>41</v>
      </c>
      <c r="R20" s="2" t="s">
        <v>56</v>
      </c>
      <c r="S20" s="2" t="s">
        <v>57</v>
      </c>
      <c r="T20" s="2" t="s">
        <v>128</v>
      </c>
      <c r="U20" s="2" t="s">
        <v>45</v>
      </c>
      <c r="V20" s="2" t="s">
        <v>223</v>
      </c>
      <c r="W20" s="2" t="s">
        <v>47</v>
      </c>
      <c r="X20" s="3" t="s">
        <v>224</v>
      </c>
      <c r="Y20" s="2" t="s">
        <v>49</v>
      </c>
      <c r="Z20" s="2" t="s">
        <v>50</v>
      </c>
      <c r="AA20" s="13" t="s">
        <v>225</v>
      </c>
    </row>
    <row r="21">
      <c r="A21" s="5" t="s">
        <v>226</v>
      </c>
      <c r="B21" s="5" t="s">
        <v>28</v>
      </c>
      <c r="C21" s="5" t="s">
        <v>145</v>
      </c>
      <c r="D21" s="5" t="s">
        <v>191</v>
      </c>
      <c r="E21" s="5" t="s">
        <v>192</v>
      </c>
      <c r="F21" s="5">
        <v>2025.0</v>
      </c>
      <c r="G21" s="5" t="s">
        <v>32</v>
      </c>
      <c r="H21" s="5" t="s">
        <v>33</v>
      </c>
      <c r="I21" s="5" t="s">
        <v>34</v>
      </c>
      <c r="J21" s="5" t="s">
        <v>35</v>
      </c>
      <c r="K21" s="6" t="s">
        <v>227</v>
      </c>
      <c r="L21" s="5" t="s">
        <v>228</v>
      </c>
      <c r="M21" s="5">
        <v>17.0</v>
      </c>
      <c r="N21" s="5" t="s">
        <v>229</v>
      </c>
      <c r="O21" s="5" t="s">
        <v>230</v>
      </c>
      <c r="P21" s="5" t="s">
        <v>231</v>
      </c>
      <c r="Q21" s="5" t="s">
        <v>41</v>
      </c>
      <c r="R21" s="5" t="s">
        <v>78</v>
      </c>
      <c r="S21" s="5" t="s">
        <v>79</v>
      </c>
      <c r="T21" s="5" t="s">
        <v>178</v>
      </c>
      <c r="U21" s="5" t="s">
        <v>45</v>
      </c>
      <c r="V21" s="5" t="s">
        <v>46</v>
      </c>
      <c r="W21" s="5" t="s">
        <v>47</v>
      </c>
      <c r="X21" s="6" t="s">
        <v>232</v>
      </c>
      <c r="Y21" s="5" t="s">
        <v>49</v>
      </c>
      <c r="Z21" s="10" t="s">
        <v>70</v>
      </c>
      <c r="AA21" s="11" t="s">
        <v>233</v>
      </c>
    </row>
    <row r="22">
      <c r="A22" s="14" t="s">
        <v>234</v>
      </c>
      <c r="B22" s="14" t="s">
        <v>28</v>
      </c>
      <c r="C22" s="14" t="s">
        <v>235</v>
      </c>
      <c r="D22" s="14" t="s">
        <v>236</v>
      </c>
      <c r="E22" s="14" t="s">
        <v>237</v>
      </c>
      <c r="F22" s="14">
        <v>2025.0</v>
      </c>
      <c r="G22" s="14" t="s">
        <v>32</v>
      </c>
      <c r="H22" s="14" t="s">
        <v>33</v>
      </c>
      <c r="I22" s="14" t="s">
        <v>34</v>
      </c>
      <c r="J22" s="14" t="s">
        <v>35</v>
      </c>
      <c r="K22" s="15" t="s">
        <v>238</v>
      </c>
      <c r="L22" s="14" t="s">
        <v>239</v>
      </c>
      <c r="M22" s="14">
        <v>30.0</v>
      </c>
      <c r="N22" s="14" t="s">
        <v>240</v>
      </c>
      <c r="O22" s="14" t="s">
        <v>241</v>
      </c>
      <c r="P22" s="14" t="s">
        <v>242</v>
      </c>
      <c r="Q22" s="14" t="s">
        <v>41</v>
      </c>
      <c r="R22" s="14" t="s">
        <v>42</v>
      </c>
      <c r="S22" s="14" t="s">
        <v>138</v>
      </c>
      <c r="T22" s="14" t="s">
        <v>44</v>
      </c>
      <c r="U22" s="14" t="s">
        <v>45</v>
      </c>
      <c r="V22" s="14" t="s">
        <v>46</v>
      </c>
      <c r="W22" s="14" t="s">
        <v>47</v>
      </c>
      <c r="X22" s="15" t="s">
        <v>243</v>
      </c>
      <c r="Y22" s="14" t="s">
        <v>49</v>
      </c>
      <c r="Z22" s="14" t="s">
        <v>50</v>
      </c>
    </row>
    <row r="23">
      <c r="A23" s="14" t="s">
        <v>244</v>
      </c>
      <c r="B23" s="14" t="s">
        <v>28</v>
      </c>
      <c r="C23" s="14" t="s">
        <v>235</v>
      </c>
      <c r="D23" s="14" t="s">
        <v>236</v>
      </c>
      <c r="E23" s="14" t="s">
        <v>237</v>
      </c>
      <c r="F23" s="14">
        <v>2025.0</v>
      </c>
      <c r="G23" s="14" t="s">
        <v>32</v>
      </c>
      <c r="H23" s="14" t="s">
        <v>33</v>
      </c>
      <c r="I23" s="14" t="s">
        <v>34</v>
      </c>
      <c r="J23" s="14" t="s">
        <v>35</v>
      </c>
      <c r="K23" s="15" t="s">
        <v>245</v>
      </c>
      <c r="L23" s="14" t="s">
        <v>246</v>
      </c>
      <c r="M23" s="14">
        <v>25.0</v>
      </c>
      <c r="N23" s="14" t="s">
        <v>247</v>
      </c>
      <c r="O23" s="14" t="s">
        <v>248</v>
      </c>
      <c r="P23" s="14" t="s">
        <v>249</v>
      </c>
      <c r="Q23" s="14" t="s">
        <v>41</v>
      </c>
      <c r="R23" s="14" t="s">
        <v>56</v>
      </c>
      <c r="S23" s="14" t="s">
        <v>187</v>
      </c>
      <c r="T23" s="14" t="s">
        <v>128</v>
      </c>
      <c r="U23" s="14" t="s">
        <v>45</v>
      </c>
      <c r="V23" s="14" t="s">
        <v>250</v>
      </c>
      <c r="W23" s="14" t="s">
        <v>47</v>
      </c>
      <c r="X23" s="15" t="s">
        <v>251</v>
      </c>
      <c r="Y23" s="14" t="s">
        <v>49</v>
      </c>
      <c r="Z23" s="14" t="s">
        <v>50</v>
      </c>
    </row>
    <row r="24">
      <c r="A24" s="14" t="s">
        <v>252</v>
      </c>
      <c r="B24" s="14" t="s">
        <v>28</v>
      </c>
      <c r="C24" s="14" t="s">
        <v>235</v>
      </c>
      <c r="D24" s="14" t="s">
        <v>236</v>
      </c>
      <c r="E24" s="14" t="s">
        <v>237</v>
      </c>
      <c r="F24" s="14">
        <v>2025.0</v>
      </c>
      <c r="G24" s="14" t="s">
        <v>32</v>
      </c>
      <c r="H24" s="14" t="s">
        <v>33</v>
      </c>
      <c r="I24" s="14" t="s">
        <v>34</v>
      </c>
      <c r="J24" s="14" t="s">
        <v>35</v>
      </c>
      <c r="K24" s="15" t="s">
        <v>253</v>
      </c>
      <c r="L24" s="14" t="s">
        <v>254</v>
      </c>
      <c r="M24" s="14">
        <v>29.0</v>
      </c>
      <c r="N24" s="14" t="s">
        <v>255</v>
      </c>
      <c r="O24" s="14" t="s">
        <v>256</v>
      </c>
      <c r="P24" s="14" t="s">
        <v>257</v>
      </c>
      <c r="Q24" s="14" t="s">
        <v>41</v>
      </c>
      <c r="R24" s="14" t="s">
        <v>56</v>
      </c>
      <c r="S24" s="14" t="s">
        <v>57</v>
      </c>
      <c r="T24" s="14" t="s">
        <v>128</v>
      </c>
      <c r="U24" s="14" t="s">
        <v>45</v>
      </c>
      <c r="V24" s="14" t="s">
        <v>258</v>
      </c>
      <c r="W24" s="14" t="s">
        <v>47</v>
      </c>
      <c r="X24" s="15" t="s">
        <v>259</v>
      </c>
      <c r="Y24" s="14" t="s">
        <v>49</v>
      </c>
      <c r="Z24" s="14" t="s">
        <v>50</v>
      </c>
    </row>
    <row r="25">
      <c r="A25" s="14" t="s">
        <v>260</v>
      </c>
      <c r="B25" s="14" t="s">
        <v>28</v>
      </c>
      <c r="C25" s="14" t="s">
        <v>235</v>
      </c>
      <c r="D25" s="14" t="s">
        <v>236</v>
      </c>
      <c r="E25" s="14" t="s">
        <v>237</v>
      </c>
      <c r="F25" s="14">
        <v>2025.0</v>
      </c>
      <c r="G25" s="14" t="s">
        <v>32</v>
      </c>
      <c r="H25" s="14" t="s">
        <v>33</v>
      </c>
      <c r="I25" s="14" t="s">
        <v>34</v>
      </c>
      <c r="J25" s="14" t="s">
        <v>35</v>
      </c>
      <c r="K25" s="15" t="s">
        <v>261</v>
      </c>
      <c r="L25" s="14" t="s">
        <v>262</v>
      </c>
      <c r="M25" s="14">
        <v>20.0</v>
      </c>
      <c r="N25" s="14" t="s">
        <v>263</v>
      </c>
      <c r="O25" s="14" t="s">
        <v>264</v>
      </c>
      <c r="P25" s="14" t="s">
        <v>265</v>
      </c>
      <c r="Q25" s="14" t="s">
        <v>121</v>
      </c>
      <c r="R25" s="14" t="s">
        <v>42</v>
      </c>
      <c r="S25" s="14" t="s">
        <v>266</v>
      </c>
      <c r="T25" s="14" t="s">
        <v>58</v>
      </c>
      <c r="U25" s="14" t="s">
        <v>45</v>
      </c>
      <c r="V25" s="14" t="s">
        <v>46</v>
      </c>
      <c r="W25" s="14" t="s">
        <v>47</v>
      </c>
      <c r="X25" s="15" t="s">
        <v>267</v>
      </c>
      <c r="Y25" s="14" t="s">
        <v>49</v>
      </c>
      <c r="Z25" s="14" t="s">
        <v>50</v>
      </c>
    </row>
    <row r="26">
      <c r="A26" s="14" t="s">
        <v>268</v>
      </c>
      <c r="B26" s="14" t="s">
        <v>28</v>
      </c>
      <c r="C26" s="14" t="s">
        <v>235</v>
      </c>
      <c r="D26" s="14" t="s">
        <v>236</v>
      </c>
      <c r="E26" s="14" t="s">
        <v>237</v>
      </c>
      <c r="F26" s="14">
        <v>2025.0</v>
      </c>
      <c r="G26" s="14" t="s">
        <v>32</v>
      </c>
      <c r="H26" s="14" t="s">
        <v>33</v>
      </c>
      <c r="I26" s="14" t="s">
        <v>34</v>
      </c>
      <c r="J26" s="14" t="s">
        <v>35</v>
      </c>
      <c r="K26" s="15" t="s">
        <v>269</v>
      </c>
      <c r="L26" s="14" t="s">
        <v>262</v>
      </c>
      <c r="M26" s="14">
        <v>18.0</v>
      </c>
      <c r="N26" s="14" t="s">
        <v>270</v>
      </c>
      <c r="O26" s="14" t="s">
        <v>271</v>
      </c>
      <c r="P26" s="14" t="s">
        <v>272</v>
      </c>
      <c r="Q26" s="14" t="s">
        <v>41</v>
      </c>
      <c r="R26" s="14" t="s">
        <v>273</v>
      </c>
      <c r="S26" s="14" t="s">
        <v>274</v>
      </c>
      <c r="T26" s="14" t="s">
        <v>275</v>
      </c>
      <c r="U26" s="14" t="s">
        <v>45</v>
      </c>
      <c r="V26" s="14" t="s">
        <v>46</v>
      </c>
      <c r="W26" s="14" t="s">
        <v>47</v>
      </c>
      <c r="X26" s="15" t="s">
        <v>276</v>
      </c>
      <c r="Y26" s="14" t="s">
        <v>49</v>
      </c>
      <c r="Z26" s="14" t="s">
        <v>50</v>
      </c>
    </row>
    <row r="27">
      <c r="A27" s="14" t="s">
        <v>277</v>
      </c>
      <c r="B27" s="14" t="s">
        <v>28</v>
      </c>
      <c r="C27" s="14" t="s">
        <v>235</v>
      </c>
      <c r="D27" s="14" t="s">
        <v>278</v>
      </c>
      <c r="E27" s="14" t="s">
        <v>279</v>
      </c>
      <c r="F27" s="14">
        <v>2025.0</v>
      </c>
      <c r="G27" s="14" t="s">
        <v>32</v>
      </c>
      <c r="H27" s="14" t="s">
        <v>33</v>
      </c>
      <c r="I27" s="14" t="s">
        <v>34</v>
      </c>
      <c r="J27" s="14" t="s">
        <v>35</v>
      </c>
      <c r="K27" s="15" t="s">
        <v>280</v>
      </c>
      <c r="L27" s="14" t="s">
        <v>281</v>
      </c>
      <c r="M27" s="14">
        <v>36.0</v>
      </c>
      <c r="N27" s="14" t="s">
        <v>282</v>
      </c>
      <c r="O27" s="14" t="s">
        <v>283</v>
      </c>
      <c r="P27" s="14" t="s">
        <v>284</v>
      </c>
      <c r="Q27" s="14" t="s">
        <v>41</v>
      </c>
      <c r="R27" s="14" t="s">
        <v>56</v>
      </c>
      <c r="S27" s="14" t="s">
        <v>187</v>
      </c>
      <c r="T27" s="14" t="s">
        <v>44</v>
      </c>
      <c r="U27" s="14" t="s">
        <v>45</v>
      </c>
      <c r="V27" s="14" t="s">
        <v>285</v>
      </c>
      <c r="W27" s="14" t="s">
        <v>47</v>
      </c>
      <c r="X27" s="15" t="s">
        <v>286</v>
      </c>
      <c r="Y27" s="14" t="s">
        <v>49</v>
      </c>
      <c r="Z27" s="14" t="s">
        <v>50</v>
      </c>
    </row>
    <row r="28">
      <c r="A28" s="14" t="s">
        <v>287</v>
      </c>
      <c r="B28" s="14" t="s">
        <v>28</v>
      </c>
      <c r="C28" s="14" t="s">
        <v>235</v>
      </c>
      <c r="D28" s="14" t="s">
        <v>278</v>
      </c>
      <c r="E28" s="14" t="s">
        <v>279</v>
      </c>
      <c r="F28" s="14">
        <v>2025.0</v>
      </c>
      <c r="G28" s="14" t="s">
        <v>32</v>
      </c>
      <c r="H28" s="14" t="s">
        <v>33</v>
      </c>
      <c r="I28" s="14" t="s">
        <v>34</v>
      </c>
      <c r="J28" s="14" t="s">
        <v>35</v>
      </c>
      <c r="K28" s="15" t="s">
        <v>288</v>
      </c>
      <c r="L28" s="14" t="s">
        <v>289</v>
      </c>
      <c r="M28" s="14">
        <v>32.0</v>
      </c>
      <c r="N28" s="14" t="s">
        <v>290</v>
      </c>
      <c r="O28" s="14" t="s">
        <v>291</v>
      </c>
      <c r="P28" s="14" t="s">
        <v>292</v>
      </c>
      <c r="Q28" s="14" t="s">
        <v>41</v>
      </c>
      <c r="R28" s="14" t="s">
        <v>56</v>
      </c>
      <c r="S28" s="14" t="s">
        <v>293</v>
      </c>
      <c r="T28" s="14" t="s">
        <v>188</v>
      </c>
      <c r="U28" s="14" t="s">
        <v>45</v>
      </c>
      <c r="V28" s="14" t="s">
        <v>46</v>
      </c>
      <c r="W28" s="14" t="s">
        <v>47</v>
      </c>
      <c r="X28" s="15" t="s">
        <v>294</v>
      </c>
      <c r="Y28" s="14" t="s">
        <v>49</v>
      </c>
      <c r="Z28" s="14" t="s">
        <v>50</v>
      </c>
    </row>
    <row r="29">
      <c r="A29" s="14" t="s">
        <v>295</v>
      </c>
      <c r="B29" s="14" t="s">
        <v>28</v>
      </c>
      <c r="C29" s="14" t="s">
        <v>235</v>
      </c>
      <c r="D29" s="14" t="s">
        <v>278</v>
      </c>
      <c r="E29" s="14" t="s">
        <v>279</v>
      </c>
      <c r="F29" s="14">
        <v>2025.0</v>
      </c>
      <c r="G29" s="14" t="s">
        <v>32</v>
      </c>
      <c r="H29" s="14" t="s">
        <v>33</v>
      </c>
      <c r="I29" s="14" t="s">
        <v>34</v>
      </c>
      <c r="J29" s="14" t="s">
        <v>35</v>
      </c>
      <c r="K29" s="15" t="s">
        <v>296</v>
      </c>
      <c r="L29" s="14" t="s">
        <v>297</v>
      </c>
      <c r="M29" s="14">
        <v>23.0</v>
      </c>
      <c r="N29" s="14" t="s">
        <v>298</v>
      </c>
      <c r="O29" s="14" t="s">
        <v>256</v>
      </c>
      <c r="P29" s="14" t="s">
        <v>299</v>
      </c>
      <c r="Q29" s="14" t="s">
        <v>41</v>
      </c>
      <c r="R29" s="14" t="s">
        <v>56</v>
      </c>
      <c r="S29" s="14" t="s">
        <v>57</v>
      </c>
      <c r="T29" s="14" t="s">
        <v>128</v>
      </c>
      <c r="U29" s="14" t="s">
        <v>45</v>
      </c>
      <c r="V29" s="14" t="s">
        <v>300</v>
      </c>
      <c r="W29" s="14" t="s">
        <v>47</v>
      </c>
      <c r="X29" s="15" t="s">
        <v>301</v>
      </c>
      <c r="Y29" s="14" t="s">
        <v>49</v>
      </c>
      <c r="Z29" s="14" t="s">
        <v>50</v>
      </c>
    </row>
    <row r="30">
      <c r="A30" s="14" t="s">
        <v>302</v>
      </c>
      <c r="B30" s="14" t="s">
        <v>28</v>
      </c>
      <c r="C30" s="14" t="s">
        <v>235</v>
      </c>
      <c r="D30" s="14" t="s">
        <v>278</v>
      </c>
      <c r="E30" s="14" t="s">
        <v>279</v>
      </c>
      <c r="F30" s="14">
        <v>2025.0</v>
      </c>
      <c r="G30" s="14" t="s">
        <v>32</v>
      </c>
      <c r="H30" s="14" t="s">
        <v>33</v>
      </c>
      <c r="I30" s="14" t="s">
        <v>34</v>
      </c>
      <c r="J30" s="14" t="s">
        <v>35</v>
      </c>
      <c r="K30" s="15" t="s">
        <v>303</v>
      </c>
      <c r="L30" s="14" t="s">
        <v>304</v>
      </c>
      <c r="M30" s="14">
        <v>24.0</v>
      </c>
      <c r="N30" s="14" t="s">
        <v>305</v>
      </c>
      <c r="O30" s="14" t="s">
        <v>306</v>
      </c>
      <c r="P30" s="14" t="s">
        <v>307</v>
      </c>
      <c r="Q30" s="14" t="s">
        <v>41</v>
      </c>
      <c r="R30" s="14" t="s">
        <v>78</v>
      </c>
      <c r="S30" s="14" t="s">
        <v>79</v>
      </c>
      <c r="T30" s="14" t="s">
        <v>44</v>
      </c>
      <c r="U30" s="14" t="s">
        <v>45</v>
      </c>
      <c r="V30" s="14" t="s">
        <v>46</v>
      </c>
      <c r="W30" s="14" t="s">
        <v>47</v>
      </c>
      <c r="X30" s="15" t="s">
        <v>308</v>
      </c>
      <c r="Y30" s="14" t="s">
        <v>49</v>
      </c>
      <c r="Z30" s="14" t="s">
        <v>70</v>
      </c>
      <c r="AA30" s="16" t="s">
        <v>309</v>
      </c>
    </row>
    <row r="31">
      <c r="A31" s="14" t="s">
        <v>310</v>
      </c>
      <c r="B31" s="14" t="s">
        <v>28</v>
      </c>
      <c r="C31" s="14" t="s">
        <v>235</v>
      </c>
      <c r="D31" s="14" t="s">
        <v>278</v>
      </c>
      <c r="E31" s="14" t="s">
        <v>279</v>
      </c>
      <c r="F31" s="14">
        <v>2025.0</v>
      </c>
      <c r="G31" s="14" t="s">
        <v>32</v>
      </c>
      <c r="H31" s="14" t="s">
        <v>33</v>
      </c>
      <c r="I31" s="14" t="s">
        <v>34</v>
      </c>
      <c r="J31" s="14" t="s">
        <v>35</v>
      </c>
      <c r="K31" s="15" t="s">
        <v>311</v>
      </c>
      <c r="L31" s="14" t="s">
        <v>312</v>
      </c>
      <c r="M31" s="14">
        <v>36.0</v>
      </c>
      <c r="N31" s="14" t="s">
        <v>313</v>
      </c>
      <c r="O31" s="14" t="s">
        <v>314</v>
      </c>
      <c r="P31" s="14" t="s">
        <v>315</v>
      </c>
      <c r="Q31" s="14" t="s">
        <v>316</v>
      </c>
      <c r="R31" s="14" t="s">
        <v>78</v>
      </c>
      <c r="S31" s="14" t="s">
        <v>89</v>
      </c>
      <c r="T31" s="14" t="s">
        <v>198</v>
      </c>
      <c r="U31" s="14" t="s">
        <v>45</v>
      </c>
      <c r="V31" s="14" t="s">
        <v>46</v>
      </c>
      <c r="W31" s="14" t="s">
        <v>47</v>
      </c>
      <c r="X31" s="15" t="s">
        <v>317</v>
      </c>
      <c r="Y31" s="14" t="s">
        <v>49</v>
      </c>
      <c r="Z31" s="14" t="s">
        <v>70</v>
      </c>
      <c r="AA31" s="16" t="s">
        <v>318</v>
      </c>
    </row>
    <row r="32">
      <c r="A32" s="14" t="s">
        <v>319</v>
      </c>
      <c r="B32" s="14" t="s">
        <v>28</v>
      </c>
      <c r="C32" s="14" t="s">
        <v>320</v>
      </c>
      <c r="D32" s="14" t="s">
        <v>321</v>
      </c>
      <c r="E32" s="14" t="s">
        <v>322</v>
      </c>
      <c r="F32" s="14">
        <v>2025.0</v>
      </c>
      <c r="G32" s="14" t="s">
        <v>32</v>
      </c>
      <c r="H32" s="14" t="s">
        <v>33</v>
      </c>
      <c r="I32" s="14" t="s">
        <v>34</v>
      </c>
      <c r="J32" s="14" t="s">
        <v>35</v>
      </c>
      <c r="K32" s="15" t="s">
        <v>323</v>
      </c>
      <c r="L32" s="14" t="s">
        <v>324</v>
      </c>
      <c r="M32" s="14">
        <v>33.0</v>
      </c>
      <c r="N32" s="14" t="s">
        <v>325</v>
      </c>
      <c r="O32" s="14" t="s">
        <v>326</v>
      </c>
      <c r="P32" s="14" t="s">
        <v>327</v>
      </c>
      <c r="Q32" s="14" t="s">
        <v>41</v>
      </c>
      <c r="R32" s="14" t="s">
        <v>78</v>
      </c>
      <c r="S32" s="14" t="s">
        <v>79</v>
      </c>
      <c r="T32" s="14" t="s">
        <v>139</v>
      </c>
      <c r="U32" s="14" t="s">
        <v>45</v>
      </c>
      <c r="V32" s="14" t="s">
        <v>46</v>
      </c>
      <c r="W32" s="14" t="s">
        <v>47</v>
      </c>
      <c r="X32" s="15" t="s">
        <v>328</v>
      </c>
      <c r="Y32" s="14" t="s">
        <v>329</v>
      </c>
      <c r="Z32" s="14" t="s">
        <v>70</v>
      </c>
      <c r="AA32" s="16" t="s">
        <v>330</v>
      </c>
    </row>
    <row r="33">
      <c r="A33" s="14" t="s">
        <v>331</v>
      </c>
      <c r="B33" s="14" t="s">
        <v>28</v>
      </c>
      <c r="C33" s="14" t="s">
        <v>320</v>
      </c>
      <c r="D33" s="14" t="s">
        <v>321</v>
      </c>
      <c r="E33" s="14" t="s">
        <v>322</v>
      </c>
      <c r="F33" s="14">
        <v>2025.0</v>
      </c>
      <c r="G33" s="14" t="s">
        <v>32</v>
      </c>
      <c r="H33" s="14" t="s">
        <v>33</v>
      </c>
      <c r="I33" s="14" t="s">
        <v>34</v>
      </c>
      <c r="J33" s="14" t="s">
        <v>35</v>
      </c>
      <c r="K33" s="15" t="s">
        <v>332</v>
      </c>
      <c r="L33" s="14" t="s">
        <v>333</v>
      </c>
      <c r="M33" s="14">
        <v>25.0</v>
      </c>
      <c r="N33" s="14" t="s">
        <v>334</v>
      </c>
      <c r="O33" s="14" t="s">
        <v>335</v>
      </c>
      <c r="P33" s="14" t="s">
        <v>336</v>
      </c>
      <c r="Q33" s="14" t="s">
        <v>41</v>
      </c>
      <c r="R33" s="14" t="s">
        <v>42</v>
      </c>
      <c r="S33" s="14" t="s">
        <v>337</v>
      </c>
      <c r="T33" s="14" t="s">
        <v>275</v>
      </c>
      <c r="U33" s="14" t="s">
        <v>45</v>
      </c>
      <c r="V33" s="14" t="s">
        <v>46</v>
      </c>
      <c r="W33" s="14" t="s">
        <v>47</v>
      </c>
      <c r="X33" s="15" t="s">
        <v>338</v>
      </c>
      <c r="Y33" s="14" t="s">
        <v>329</v>
      </c>
      <c r="Z33" s="14" t="s">
        <v>50</v>
      </c>
    </row>
    <row r="34">
      <c r="A34" s="14" t="s">
        <v>339</v>
      </c>
      <c r="B34" s="14" t="s">
        <v>28</v>
      </c>
      <c r="C34" s="14" t="s">
        <v>320</v>
      </c>
      <c r="D34" s="14" t="s">
        <v>321</v>
      </c>
      <c r="E34" s="14" t="s">
        <v>322</v>
      </c>
      <c r="F34" s="14">
        <v>2025.0</v>
      </c>
      <c r="G34" s="14" t="s">
        <v>32</v>
      </c>
      <c r="H34" s="14" t="s">
        <v>33</v>
      </c>
      <c r="I34" s="14" t="s">
        <v>34</v>
      </c>
      <c r="J34" s="14" t="s">
        <v>35</v>
      </c>
      <c r="K34" s="15" t="s">
        <v>340</v>
      </c>
      <c r="L34" s="14" t="s">
        <v>341</v>
      </c>
      <c r="M34" s="14">
        <v>31.0</v>
      </c>
      <c r="N34" s="14" t="s">
        <v>342</v>
      </c>
      <c r="O34" s="14" t="s">
        <v>343</v>
      </c>
      <c r="P34" s="14" t="s">
        <v>344</v>
      </c>
      <c r="Q34" s="14" t="s">
        <v>41</v>
      </c>
      <c r="R34" s="14" t="s">
        <v>78</v>
      </c>
      <c r="S34" s="14" t="s">
        <v>79</v>
      </c>
      <c r="T34" s="14" t="s">
        <v>44</v>
      </c>
      <c r="U34" s="14" t="s">
        <v>45</v>
      </c>
      <c r="V34" s="14" t="s">
        <v>46</v>
      </c>
      <c r="W34" s="14" t="s">
        <v>47</v>
      </c>
      <c r="X34" s="15" t="s">
        <v>345</v>
      </c>
      <c r="Y34" s="14" t="s">
        <v>329</v>
      </c>
      <c r="Z34" s="14" t="s">
        <v>50</v>
      </c>
    </row>
    <row r="35">
      <c r="A35" s="14" t="s">
        <v>346</v>
      </c>
      <c r="B35" s="14" t="s">
        <v>28</v>
      </c>
      <c r="C35" s="14" t="s">
        <v>320</v>
      </c>
      <c r="D35" s="14" t="s">
        <v>321</v>
      </c>
      <c r="E35" s="14" t="s">
        <v>322</v>
      </c>
      <c r="F35" s="14">
        <v>2025.0</v>
      </c>
      <c r="G35" s="14" t="s">
        <v>32</v>
      </c>
      <c r="H35" s="14" t="s">
        <v>33</v>
      </c>
      <c r="I35" s="14" t="s">
        <v>34</v>
      </c>
      <c r="J35" s="14" t="s">
        <v>35</v>
      </c>
      <c r="K35" s="15" t="s">
        <v>347</v>
      </c>
      <c r="L35" s="14" t="s">
        <v>348</v>
      </c>
      <c r="M35" s="14">
        <v>19.0</v>
      </c>
      <c r="N35" s="14" t="s">
        <v>349</v>
      </c>
      <c r="O35" s="14" t="s">
        <v>350</v>
      </c>
      <c r="P35" s="14" t="s">
        <v>351</v>
      </c>
      <c r="Q35" s="14" t="s">
        <v>41</v>
      </c>
      <c r="R35" s="14" t="s">
        <v>56</v>
      </c>
      <c r="S35" s="14" t="s">
        <v>57</v>
      </c>
      <c r="T35" s="14" t="s">
        <v>128</v>
      </c>
      <c r="U35" s="14" t="s">
        <v>45</v>
      </c>
      <c r="V35" s="14" t="s">
        <v>352</v>
      </c>
      <c r="W35" s="14" t="s">
        <v>47</v>
      </c>
      <c r="X35" s="15" t="s">
        <v>353</v>
      </c>
      <c r="Y35" s="14" t="s">
        <v>329</v>
      </c>
      <c r="Z35" s="14" t="s">
        <v>50</v>
      </c>
    </row>
    <row r="36">
      <c r="A36" s="14" t="s">
        <v>354</v>
      </c>
      <c r="B36" s="14" t="s">
        <v>28</v>
      </c>
      <c r="C36" s="14" t="s">
        <v>320</v>
      </c>
      <c r="D36" s="14" t="s">
        <v>321</v>
      </c>
      <c r="E36" s="14" t="s">
        <v>322</v>
      </c>
      <c r="F36" s="14">
        <v>2025.0</v>
      </c>
      <c r="G36" s="14" t="s">
        <v>32</v>
      </c>
      <c r="H36" s="14" t="s">
        <v>33</v>
      </c>
      <c r="I36" s="14" t="s">
        <v>34</v>
      </c>
      <c r="J36" s="14" t="s">
        <v>35</v>
      </c>
      <c r="K36" s="15" t="s">
        <v>355</v>
      </c>
      <c r="L36" s="14" t="s">
        <v>356</v>
      </c>
      <c r="M36" s="14">
        <v>26.0</v>
      </c>
      <c r="N36" s="14" t="s">
        <v>357</v>
      </c>
      <c r="O36" s="14" t="s">
        <v>358</v>
      </c>
      <c r="P36" s="14" t="s">
        <v>359</v>
      </c>
      <c r="Q36" s="14" t="s">
        <v>41</v>
      </c>
      <c r="R36" s="14" t="s">
        <v>78</v>
      </c>
      <c r="S36" s="14" t="s">
        <v>360</v>
      </c>
      <c r="T36" s="14" t="s">
        <v>188</v>
      </c>
      <c r="U36" s="14" t="s">
        <v>45</v>
      </c>
      <c r="V36" s="14" t="s">
        <v>46</v>
      </c>
      <c r="W36" s="14" t="s">
        <v>47</v>
      </c>
      <c r="X36" s="15" t="s">
        <v>361</v>
      </c>
      <c r="Y36" s="14" t="s">
        <v>329</v>
      </c>
      <c r="Z36" s="14" t="s">
        <v>50</v>
      </c>
    </row>
    <row r="37">
      <c r="A37" s="14" t="s">
        <v>362</v>
      </c>
      <c r="B37" s="14" t="s">
        <v>28</v>
      </c>
      <c r="C37" s="14" t="s">
        <v>320</v>
      </c>
      <c r="D37" s="14" t="s">
        <v>363</v>
      </c>
      <c r="E37" s="14" t="s">
        <v>364</v>
      </c>
      <c r="F37" s="14">
        <v>2025.0</v>
      </c>
      <c r="G37" s="14" t="s">
        <v>32</v>
      </c>
      <c r="H37" s="14" t="s">
        <v>33</v>
      </c>
      <c r="I37" s="14" t="s">
        <v>34</v>
      </c>
      <c r="J37" s="14" t="s">
        <v>35</v>
      </c>
      <c r="K37" s="15" t="s">
        <v>365</v>
      </c>
      <c r="L37" s="14" t="s">
        <v>366</v>
      </c>
      <c r="M37" s="14">
        <v>24.0</v>
      </c>
      <c r="N37" s="14" t="s">
        <v>367</v>
      </c>
      <c r="O37" s="14" t="s">
        <v>368</v>
      </c>
      <c r="P37" s="14" t="s">
        <v>369</v>
      </c>
      <c r="Q37" s="14" t="s">
        <v>41</v>
      </c>
      <c r="R37" s="14" t="s">
        <v>56</v>
      </c>
      <c r="S37" s="14" t="s">
        <v>57</v>
      </c>
      <c r="T37" s="14" t="s">
        <v>128</v>
      </c>
      <c r="U37" s="14" t="s">
        <v>45</v>
      </c>
      <c r="V37" s="14" t="s">
        <v>370</v>
      </c>
      <c r="W37" s="14" t="s">
        <v>47</v>
      </c>
      <c r="X37" s="15" t="s">
        <v>371</v>
      </c>
      <c r="Y37" s="14" t="s">
        <v>329</v>
      </c>
      <c r="Z37" s="14" t="s">
        <v>50</v>
      </c>
    </row>
    <row r="38">
      <c r="A38" s="14" t="s">
        <v>372</v>
      </c>
      <c r="B38" s="14" t="s">
        <v>28</v>
      </c>
      <c r="C38" s="14" t="s">
        <v>320</v>
      </c>
      <c r="D38" s="14" t="s">
        <v>363</v>
      </c>
      <c r="E38" s="14" t="s">
        <v>364</v>
      </c>
      <c r="F38" s="14">
        <v>2025.0</v>
      </c>
      <c r="G38" s="14" t="s">
        <v>32</v>
      </c>
      <c r="H38" s="14" t="s">
        <v>33</v>
      </c>
      <c r="I38" s="14" t="s">
        <v>34</v>
      </c>
      <c r="J38" s="14" t="s">
        <v>35</v>
      </c>
      <c r="K38" s="15" t="s">
        <v>373</v>
      </c>
      <c r="L38" s="14" t="s">
        <v>366</v>
      </c>
      <c r="M38" s="14">
        <v>13.0</v>
      </c>
      <c r="N38" s="14" t="s">
        <v>374</v>
      </c>
      <c r="O38" s="14" t="s">
        <v>375</v>
      </c>
      <c r="P38" s="14" t="s">
        <v>376</v>
      </c>
      <c r="Q38" s="14" t="s">
        <v>41</v>
      </c>
      <c r="R38" s="14" t="s">
        <v>42</v>
      </c>
      <c r="S38" s="14" t="s">
        <v>138</v>
      </c>
      <c r="T38" s="14" t="s">
        <v>90</v>
      </c>
      <c r="U38" s="14" t="s">
        <v>45</v>
      </c>
      <c r="V38" s="14" t="s">
        <v>46</v>
      </c>
      <c r="W38" s="14" t="s">
        <v>47</v>
      </c>
      <c r="X38" s="15" t="s">
        <v>377</v>
      </c>
      <c r="Y38" s="14" t="s">
        <v>329</v>
      </c>
      <c r="Z38" s="14" t="s">
        <v>50</v>
      </c>
    </row>
    <row r="39">
      <c r="A39" s="14" t="s">
        <v>378</v>
      </c>
      <c r="B39" s="14" t="s">
        <v>28</v>
      </c>
      <c r="C39" s="14" t="s">
        <v>320</v>
      </c>
      <c r="D39" s="14" t="s">
        <v>363</v>
      </c>
      <c r="E39" s="14" t="s">
        <v>364</v>
      </c>
      <c r="F39" s="14">
        <v>2025.0</v>
      </c>
      <c r="G39" s="14" t="s">
        <v>32</v>
      </c>
      <c r="H39" s="14" t="s">
        <v>33</v>
      </c>
      <c r="I39" s="14" t="s">
        <v>34</v>
      </c>
      <c r="J39" s="14" t="s">
        <v>35</v>
      </c>
      <c r="K39" s="15" t="s">
        <v>379</v>
      </c>
      <c r="L39" s="14" t="s">
        <v>366</v>
      </c>
      <c r="M39" s="14">
        <v>23.0</v>
      </c>
      <c r="N39" s="14" t="s">
        <v>380</v>
      </c>
      <c r="O39" s="14" t="s">
        <v>381</v>
      </c>
      <c r="P39" s="14" t="s">
        <v>382</v>
      </c>
      <c r="Q39" s="14" t="s">
        <v>41</v>
      </c>
      <c r="R39" s="14" t="s">
        <v>273</v>
      </c>
      <c r="S39" s="14" t="s">
        <v>383</v>
      </c>
      <c r="T39" s="14" t="s">
        <v>58</v>
      </c>
      <c r="U39" s="14" t="s">
        <v>45</v>
      </c>
      <c r="V39" s="14" t="s">
        <v>46</v>
      </c>
      <c r="W39" s="14" t="s">
        <v>47</v>
      </c>
      <c r="X39" s="15" t="s">
        <v>384</v>
      </c>
      <c r="Y39" s="14" t="s">
        <v>329</v>
      </c>
      <c r="Z39" s="14" t="s">
        <v>50</v>
      </c>
    </row>
    <row r="40">
      <c r="A40" s="14" t="s">
        <v>385</v>
      </c>
      <c r="B40" s="14" t="s">
        <v>386</v>
      </c>
      <c r="C40" s="14" t="s">
        <v>387</v>
      </c>
      <c r="D40" s="14" t="s">
        <v>388</v>
      </c>
      <c r="E40" s="14" t="s">
        <v>389</v>
      </c>
      <c r="F40" s="14">
        <v>2025.0</v>
      </c>
      <c r="G40" s="14" t="s">
        <v>32</v>
      </c>
      <c r="H40" s="14" t="s">
        <v>33</v>
      </c>
      <c r="I40" s="14" t="s">
        <v>34</v>
      </c>
      <c r="J40" s="14" t="s">
        <v>390</v>
      </c>
      <c r="K40" s="15" t="s">
        <v>391</v>
      </c>
      <c r="L40" s="14" t="s">
        <v>392</v>
      </c>
      <c r="M40" s="14">
        <v>19.0</v>
      </c>
      <c r="N40" s="14" t="s">
        <v>393</v>
      </c>
      <c r="O40" s="14" t="s">
        <v>394</v>
      </c>
      <c r="P40" s="14" t="s">
        <v>395</v>
      </c>
      <c r="Q40" s="14" t="s">
        <v>316</v>
      </c>
      <c r="R40" s="14" t="s">
        <v>78</v>
      </c>
      <c r="S40" s="14" t="s">
        <v>79</v>
      </c>
      <c r="T40" s="14" t="s">
        <v>178</v>
      </c>
      <c r="U40" s="14" t="s">
        <v>45</v>
      </c>
      <c r="V40" s="14" t="s">
        <v>396</v>
      </c>
      <c r="W40" s="14" t="s">
        <v>47</v>
      </c>
      <c r="X40" s="15" t="s">
        <v>397</v>
      </c>
      <c r="Y40" s="14" t="s">
        <v>329</v>
      </c>
      <c r="Z40" s="14" t="s">
        <v>50</v>
      </c>
    </row>
    <row r="41">
      <c r="A41" s="14" t="s">
        <v>398</v>
      </c>
      <c r="B41" s="14" t="s">
        <v>28</v>
      </c>
      <c r="C41" s="14" t="s">
        <v>320</v>
      </c>
      <c r="D41" s="14" t="s">
        <v>363</v>
      </c>
      <c r="E41" s="14" t="s">
        <v>364</v>
      </c>
      <c r="F41" s="14">
        <v>2025.0</v>
      </c>
      <c r="G41" s="14" t="s">
        <v>32</v>
      </c>
      <c r="H41" s="14" t="s">
        <v>33</v>
      </c>
      <c r="I41" s="14" t="s">
        <v>34</v>
      </c>
      <c r="J41" s="14" t="s">
        <v>35</v>
      </c>
      <c r="K41" s="15" t="s">
        <v>399</v>
      </c>
      <c r="L41" s="14" t="s">
        <v>400</v>
      </c>
      <c r="M41" s="14">
        <v>19.0</v>
      </c>
      <c r="N41" s="14" t="s">
        <v>401</v>
      </c>
      <c r="O41" s="14" t="s">
        <v>402</v>
      </c>
      <c r="P41" s="14" t="s">
        <v>403</v>
      </c>
      <c r="Q41" s="14" t="s">
        <v>316</v>
      </c>
      <c r="R41" s="14" t="s">
        <v>404</v>
      </c>
      <c r="S41" s="14" t="s">
        <v>405</v>
      </c>
      <c r="T41" s="14" t="s">
        <v>178</v>
      </c>
      <c r="U41" s="14" t="s">
        <v>45</v>
      </c>
      <c r="V41" s="14" t="s">
        <v>46</v>
      </c>
      <c r="W41" s="14" t="s">
        <v>47</v>
      </c>
      <c r="X41" s="15" t="s">
        <v>406</v>
      </c>
      <c r="Y41" s="14" t="s">
        <v>329</v>
      </c>
      <c r="Z41" s="14" t="s">
        <v>50</v>
      </c>
    </row>
    <row r="42">
      <c r="A42" s="14" t="s">
        <v>407</v>
      </c>
      <c r="B42" s="14" t="s">
        <v>28</v>
      </c>
      <c r="C42" s="14" t="s">
        <v>320</v>
      </c>
      <c r="D42" s="14" t="s">
        <v>408</v>
      </c>
      <c r="E42" s="14" t="s">
        <v>409</v>
      </c>
      <c r="F42" s="14">
        <v>2025.0</v>
      </c>
      <c r="G42" s="14" t="s">
        <v>32</v>
      </c>
      <c r="H42" s="14" t="s">
        <v>33</v>
      </c>
      <c r="I42" s="14" t="s">
        <v>34</v>
      </c>
      <c r="J42" s="14" t="s">
        <v>35</v>
      </c>
      <c r="K42" s="15" t="s">
        <v>410</v>
      </c>
      <c r="L42" s="14" t="s">
        <v>411</v>
      </c>
      <c r="M42" s="14">
        <v>33.0</v>
      </c>
      <c r="N42" s="14" t="s">
        <v>412</v>
      </c>
      <c r="O42" s="14" t="s">
        <v>413</v>
      </c>
      <c r="P42" s="14" t="s">
        <v>414</v>
      </c>
      <c r="Q42" s="14" t="s">
        <v>41</v>
      </c>
      <c r="R42" s="14" t="s">
        <v>78</v>
      </c>
      <c r="S42" s="14" t="s">
        <v>89</v>
      </c>
      <c r="T42" s="14" t="s">
        <v>44</v>
      </c>
      <c r="U42" s="14" t="s">
        <v>45</v>
      </c>
      <c r="V42" s="14" t="s">
        <v>46</v>
      </c>
      <c r="W42" s="14" t="s">
        <v>47</v>
      </c>
      <c r="X42" s="15" t="s">
        <v>415</v>
      </c>
      <c r="Y42" s="14" t="s">
        <v>329</v>
      </c>
      <c r="Z42" s="14" t="s">
        <v>70</v>
      </c>
      <c r="AA42" s="16" t="s">
        <v>416</v>
      </c>
    </row>
    <row r="43">
      <c r="A43" s="14" t="s">
        <v>417</v>
      </c>
      <c r="B43" s="14" t="s">
        <v>28</v>
      </c>
      <c r="C43" s="14" t="s">
        <v>320</v>
      </c>
      <c r="D43" s="14" t="s">
        <v>408</v>
      </c>
      <c r="E43" s="14" t="s">
        <v>409</v>
      </c>
      <c r="F43" s="14">
        <v>2025.0</v>
      </c>
      <c r="G43" s="14" t="s">
        <v>32</v>
      </c>
      <c r="H43" s="14" t="s">
        <v>33</v>
      </c>
      <c r="I43" s="14" t="s">
        <v>34</v>
      </c>
      <c r="J43" s="14" t="s">
        <v>35</v>
      </c>
      <c r="K43" s="15" t="s">
        <v>418</v>
      </c>
      <c r="L43" s="14" t="s">
        <v>419</v>
      </c>
      <c r="M43" s="14">
        <v>32.0</v>
      </c>
      <c r="N43" s="14" t="s">
        <v>420</v>
      </c>
      <c r="O43" s="14" t="s">
        <v>421</v>
      </c>
      <c r="P43" s="14" t="s">
        <v>422</v>
      </c>
      <c r="Q43" s="14" t="s">
        <v>41</v>
      </c>
      <c r="R43" s="14" t="s">
        <v>42</v>
      </c>
      <c r="S43" s="14" t="s">
        <v>138</v>
      </c>
      <c r="T43" s="14" t="s">
        <v>275</v>
      </c>
      <c r="U43" s="14" t="s">
        <v>45</v>
      </c>
      <c r="V43" s="14" t="s">
        <v>46</v>
      </c>
      <c r="W43" s="14" t="s">
        <v>47</v>
      </c>
      <c r="X43" s="15" t="s">
        <v>423</v>
      </c>
      <c r="Y43" s="14" t="s">
        <v>329</v>
      </c>
      <c r="Z43" s="14" t="s">
        <v>50</v>
      </c>
    </row>
    <row r="44">
      <c r="A44" s="14" t="s">
        <v>424</v>
      </c>
      <c r="B44" s="14" t="s">
        <v>28</v>
      </c>
      <c r="C44" s="14" t="s">
        <v>320</v>
      </c>
      <c r="D44" s="14" t="s">
        <v>408</v>
      </c>
      <c r="E44" s="14" t="s">
        <v>409</v>
      </c>
      <c r="F44" s="14">
        <v>2025.0</v>
      </c>
      <c r="G44" s="14" t="s">
        <v>32</v>
      </c>
      <c r="H44" s="14" t="s">
        <v>33</v>
      </c>
      <c r="I44" s="14" t="s">
        <v>34</v>
      </c>
      <c r="J44" s="14" t="s">
        <v>35</v>
      </c>
      <c r="K44" s="15" t="s">
        <v>425</v>
      </c>
      <c r="L44" s="14" t="s">
        <v>426</v>
      </c>
      <c r="M44" s="14">
        <v>30.0</v>
      </c>
      <c r="N44" s="14" t="s">
        <v>427</v>
      </c>
      <c r="O44" s="14" t="s">
        <v>428</v>
      </c>
      <c r="P44" s="14" t="s">
        <v>429</v>
      </c>
      <c r="Q44" s="14" t="s">
        <v>41</v>
      </c>
      <c r="R44" s="14" t="s">
        <v>42</v>
      </c>
      <c r="S44" s="14" t="s">
        <v>67</v>
      </c>
      <c r="T44" s="14" t="s">
        <v>68</v>
      </c>
      <c r="U44" s="14" t="s">
        <v>45</v>
      </c>
      <c r="V44" s="14" t="s">
        <v>430</v>
      </c>
      <c r="W44" s="14" t="s">
        <v>47</v>
      </c>
      <c r="X44" s="15" t="s">
        <v>431</v>
      </c>
      <c r="Y44" s="14" t="s">
        <v>329</v>
      </c>
      <c r="Z44" s="14" t="s">
        <v>50</v>
      </c>
    </row>
    <row r="45">
      <c r="A45" s="14" t="s">
        <v>432</v>
      </c>
      <c r="B45" s="14" t="s">
        <v>28</v>
      </c>
      <c r="C45" s="14" t="s">
        <v>320</v>
      </c>
      <c r="D45" s="14" t="s">
        <v>408</v>
      </c>
      <c r="E45" s="14" t="s">
        <v>409</v>
      </c>
      <c r="F45" s="14">
        <v>2025.0</v>
      </c>
      <c r="G45" s="14" t="s">
        <v>32</v>
      </c>
      <c r="H45" s="14" t="s">
        <v>33</v>
      </c>
      <c r="I45" s="14" t="s">
        <v>34</v>
      </c>
      <c r="J45" s="14" t="s">
        <v>35</v>
      </c>
      <c r="K45" s="15" t="s">
        <v>433</v>
      </c>
      <c r="L45" s="14" t="s">
        <v>434</v>
      </c>
      <c r="M45" s="14">
        <v>33.0</v>
      </c>
      <c r="N45" s="14" t="s">
        <v>435</v>
      </c>
      <c r="O45" s="14" t="s">
        <v>436</v>
      </c>
      <c r="P45" s="14" t="s">
        <v>437</v>
      </c>
      <c r="Q45" s="14" t="s">
        <v>41</v>
      </c>
      <c r="R45" s="14" t="s">
        <v>56</v>
      </c>
      <c r="S45" s="14" t="s">
        <v>57</v>
      </c>
      <c r="T45" s="14" t="s">
        <v>58</v>
      </c>
      <c r="U45" s="14" t="s">
        <v>45</v>
      </c>
      <c r="V45" s="14" t="s">
        <v>438</v>
      </c>
      <c r="W45" s="14" t="s">
        <v>47</v>
      </c>
      <c r="X45" s="15" t="s">
        <v>439</v>
      </c>
      <c r="Y45" s="14" t="s">
        <v>329</v>
      </c>
      <c r="Z45" s="14" t="s">
        <v>50</v>
      </c>
    </row>
    <row r="46">
      <c r="A46" s="14" t="s">
        <v>440</v>
      </c>
      <c r="B46" s="14" t="s">
        <v>28</v>
      </c>
      <c r="C46" s="14" t="s">
        <v>320</v>
      </c>
      <c r="D46" s="14" t="s">
        <v>408</v>
      </c>
      <c r="E46" s="14" t="s">
        <v>409</v>
      </c>
      <c r="F46" s="14">
        <v>2025.0</v>
      </c>
      <c r="G46" s="14" t="s">
        <v>32</v>
      </c>
      <c r="H46" s="14" t="s">
        <v>33</v>
      </c>
      <c r="I46" s="14" t="s">
        <v>34</v>
      </c>
      <c r="J46" s="14" t="s">
        <v>35</v>
      </c>
      <c r="K46" s="15" t="s">
        <v>441</v>
      </c>
      <c r="L46" s="14" t="s">
        <v>442</v>
      </c>
      <c r="M46" s="14">
        <v>29.0</v>
      </c>
      <c r="N46" s="14" t="s">
        <v>443</v>
      </c>
      <c r="O46" s="14" t="s">
        <v>444</v>
      </c>
      <c r="P46" s="14" t="s">
        <v>445</v>
      </c>
      <c r="Q46" s="14" t="s">
        <v>41</v>
      </c>
      <c r="R46" s="14" t="s">
        <v>78</v>
      </c>
      <c r="S46" s="14" t="s">
        <v>89</v>
      </c>
      <c r="T46" s="14" t="s">
        <v>90</v>
      </c>
      <c r="U46" s="14" t="s">
        <v>45</v>
      </c>
      <c r="V46" s="14" t="s">
        <v>46</v>
      </c>
      <c r="W46" s="14" t="s">
        <v>47</v>
      </c>
      <c r="X46" s="15" t="s">
        <v>446</v>
      </c>
      <c r="Y46" s="14" t="s">
        <v>329</v>
      </c>
      <c r="Z46" s="14" t="s">
        <v>50</v>
      </c>
    </row>
    <row r="47">
      <c r="A47" s="14" t="s">
        <v>447</v>
      </c>
      <c r="B47" s="14" t="s">
        <v>28</v>
      </c>
      <c r="C47" s="14" t="s">
        <v>448</v>
      </c>
      <c r="D47" s="14" t="s">
        <v>321</v>
      </c>
      <c r="E47" s="14" t="s">
        <v>449</v>
      </c>
      <c r="F47" s="14">
        <v>2025.0</v>
      </c>
      <c r="G47" s="14" t="s">
        <v>32</v>
      </c>
      <c r="H47" s="14" t="s">
        <v>33</v>
      </c>
      <c r="I47" s="14" t="s">
        <v>34</v>
      </c>
      <c r="J47" s="14" t="s">
        <v>35</v>
      </c>
      <c r="K47" s="15" t="s">
        <v>450</v>
      </c>
      <c r="L47" s="14" t="s">
        <v>451</v>
      </c>
      <c r="M47" s="14">
        <v>41.0</v>
      </c>
      <c r="N47" s="14" t="s">
        <v>452</v>
      </c>
      <c r="O47" s="14" t="s">
        <v>453</v>
      </c>
      <c r="P47" s="14" t="s">
        <v>454</v>
      </c>
      <c r="Q47" s="14" t="s">
        <v>41</v>
      </c>
      <c r="R47" s="14" t="s">
        <v>42</v>
      </c>
      <c r="S47" s="14" t="s">
        <v>266</v>
      </c>
      <c r="T47" s="14" t="s">
        <v>160</v>
      </c>
      <c r="U47" s="14" t="s">
        <v>45</v>
      </c>
      <c r="V47" s="14" t="s">
        <v>46</v>
      </c>
      <c r="W47" s="14" t="s">
        <v>47</v>
      </c>
      <c r="X47" s="15" t="s">
        <v>455</v>
      </c>
      <c r="Y47" s="14" t="s">
        <v>329</v>
      </c>
      <c r="Z47" s="14" t="s">
        <v>50</v>
      </c>
    </row>
    <row r="48">
      <c r="A48" s="14" t="s">
        <v>456</v>
      </c>
      <c r="B48" s="14" t="s">
        <v>28</v>
      </c>
      <c r="C48" s="14" t="s">
        <v>448</v>
      </c>
      <c r="D48" s="14" t="s">
        <v>321</v>
      </c>
      <c r="E48" s="14" t="s">
        <v>449</v>
      </c>
      <c r="F48" s="14">
        <v>2025.0</v>
      </c>
      <c r="G48" s="14" t="s">
        <v>32</v>
      </c>
      <c r="H48" s="14" t="s">
        <v>33</v>
      </c>
      <c r="I48" s="14" t="s">
        <v>34</v>
      </c>
      <c r="J48" s="14" t="s">
        <v>35</v>
      </c>
      <c r="K48" s="15" t="s">
        <v>457</v>
      </c>
      <c r="L48" s="14" t="s">
        <v>458</v>
      </c>
      <c r="M48" s="14">
        <v>37.0</v>
      </c>
      <c r="N48" s="14" t="s">
        <v>459</v>
      </c>
      <c r="O48" s="14" t="s">
        <v>460</v>
      </c>
      <c r="P48" s="14" t="s">
        <v>461</v>
      </c>
      <c r="Q48" s="14" t="s">
        <v>41</v>
      </c>
      <c r="R48" s="14" t="s">
        <v>404</v>
      </c>
      <c r="S48" s="14" t="s">
        <v>462</v>
      </c>
      <c r="T48" s="14" t="s">
        <v>44</v>
      </c>
      <c r="U48" s="14" t="s">
        <v>45</v>
      </c>
      <c r="V48" s="14" t="s">
        <v>46</v>
      </c>
      <c r="W48" s="14" t="s">
        <v>47</v>
      </c>
      <c r="X48" s="15" t="s">
        <v>463</v>
      </c>
      <c r="Y48" s="14" t="s">
        <v>329</v>
      </c>
      <c r="Z48" s="14" t="s">
        <v>50</v>
      </c>
    </row>
    <row r="49">
      <c r="A49" s="14" t="s">
        <v>464</v>
      </c>
      <c r="B49" s="14" t="s">
        <v>28</v>
      </c>
      <c r="C49" s="14" t="s">
        <v>448</v>
      </c>
      <c r="D49" s="14" t="s">
        <v>321</v>
      </c>
      <c r="E49" s="14" t="s">
        <v>449</v>
      </c>
      <c r="F49" s="14">
        <v>2025.0</v>
      </c>
      <c r="G49" s="14" t="s">
        <v>32</v>
      </c>
      <c r="H49" s="14" t="s">
        <v>33</v>
      </c>
      <c r="I49" s="14" t="s">
        <v>34</v>
      </c>
      <c r="J49" s="14" t="s">
        <v>35</v>
      </c>
      <c r="K49" s="15" t="s">
        <v>465</v>
      </c>
      <c r="L49" s="14" t="s">
        <v>466</v>
      </c>
      <c r="M49" s="14">
        <v>36.0</v>
      </c>
      <c r="N49" s="14" t="s">
        <v>467</v>
      </c>
      <c r="O49" s="14" t="s">
        <v>468</v>
      </c>
      <c r="P49" s="14" t="s">
        <v>469</v>
      </c>
      <c r="Q49" s="14" t="s">
        <v>41</v>
      </c>
      <c r="R49" s="14" t="s">
        <v>78</v>
      </c>
      <c r="S49" s="14" t="s">
        <v>79</v>
      </c>
      <c r="T49" s="14" t="s">
        <v>104</v>
      </c>
      <c r="U49" s="14" t="s">
        <v>45</v>
      </c>
      <c r="V49" s="14" t="s">
        <v>470</v>
      </c>
      <c r="W49" s="14" t="s">
        <v>47</v>
      </c>
      <c r="X49" s="15" t="s">
        <v>471</v>
      </c>
      <c r="Y49" s="14" t="s">
        <v>329</v>
      </c>
      <c r="Z49" s="14" t="s">
        <v>50</v>
      </c>
    </row>
    <row r="50">
      <c r="A50" s="14" t="s">
        <v>472</v>
      </c>
      <c r="B50" s="14" t="s">
        <v>28</v>
      </c>
      <c r="C50" s="14" t="s">
        <v>448</v>
      </c>
      <c r="D50" s="14" t="s">
        <v>321</v>
      </c>
      <c r="E50" s="14" t="s">
        <v>449</v>
      </c>
      <c r="F50" s="14">
        <v>2025.0</v>
      </c>
      <c r="G50" s="14" t="s">
        <v>32</v>
      </c>
      <c r="H50" s="14" t="s">
        <v>33</v>
      </c>
      <c r="I50" s="14" t="s">
        <v>34</v>
      </c>
      <c r="J50" s="14" t="s">
        <v>35</v>
      </c>
      <c r="K50" s="15" t="s">
        <v>473</v>
      </c>
      <c r="L50" s="14" t="s">
        <v>474</v>
      </c>
      <c r="M50" s="14">
        <v>26.0</v>
      </c>
      <c r="N50" s="14" t="s">
        <v>475</v>
      </c>
      <c r="O50" s="14" t="s">
        <v>476</v>
      </c>
      <c r="P50" s="14" t="s">
        <v>477</v>
      </c>
      <c r="Q50" s="14" t="s">
        <v>41</v>
      </c>
      <c r="R50" s="14" t="s">
        <v>42</v>
      </c>
      <c r="S50" s="14" t="s">
        <v>337</v>
      </c>
      <c r="T50" s="14" t="s">
        <v>44</v>
      </c>
      <c r="U50" s="14" t="s">
        <v>45</v>
      </c>
      <c r="V50" s="14" t="s">
        <v>478</v>
      </c>
      <c r="W50" s="14" t="s">
        <v>47</v>
      </c>
      <c r="X50" s="15" t="s">
        <v>479</v>
      </c>
      <c r="Y50" s="14" t="s">
        <v>329</v>
      </c>
      <c r="Z50" s="14" t="s">
        <v>50</v>
      </c>
    </row>
    <row r="51">
      <c r="A51" s="14" t="s">
        <v>480</v>
      </c>
      <c r="B51" s="14" t="s">
        <v>28</v>
      </c>
      <c r="C51" s="14" t="s">
        <v>448</v>
      </c>
      <c r="D51" s="14" t="s">
        <v>321</v>
      </c>
      <c r="E51" s="14" t="s">
        <v>449</v>
      </c>
      <c r="F51" s="14">
        <v>2025.0</v>
      </c>
      <c r="G51" s="14" t="s">
        <v>32</v>
      </c>
      <c r="H51" s="14" t="s">
        <v>33</v>
      </c>
      <c r="I51" s="14" t="s">
        <v>34</v>
      </c>
      <c r="J51" s="14" t="s">
        <v>35</v>
      </c>
      <c r="K51" s="15" t="s">
        <v>481</v>
      </c>
      <c r="L51" s="14" t="s">
        <v>482</v>
      </c>
      <c r="M51" s="14">
        <v>30.0</v>
      </c>
      <c r="N51" s="14" t="s">
        <v>483</v>
      </c>
      <c r="O51" s="14" t="s">
        <v>484</v>
      </c>
      <c r="P51" s="14" t="s">
        <v>485</v>
      </c>
      <c r="Q51" s="14" t="s">
        <v>41</v>
      </c>
      <c r="R51" s="14" t="s">
        <v>56</v>
      </c>
      <c r="S51" s="14" t="s">
        <v>57</v>
      </c>
      <c r="T51" s="14" t="s">
        <v>128</v>
      </c>
      <c r="U51" s="14" t="s">
        <v>45</v>
      </c>
      <c r="V51" s="14" t="s">
        <v>486</v>
      </c>
      <c r="W51" s="14" t="s">
        <v>47</v>
      </c>
      <c r="X51" s="15" t="s">
        <v>487</v>
      </c>
      <c r="Y51" s="14" t="s">
        <v>329</v>
      </c>
      <c r="Z51" s="14" t="s">
        <v>50</v>
      </c>
    </row>
    <row r="52">
      <c r="A52" s="14" t="s">
        <v>488</v>
      </c>
      <c r="B52" s="14" t="s">
        <v>28</v>
      </c>
      <c r="C52" s="14" t="s">
        <v>448</v>
      </c>
      <c r="D52" s="14" t="s">
        <v>489</v>
      </c>
      <c r="E52" s="14" t="s">
        <v>490</v>
      </c>
      <c r="F52" s="14">
        <v>2025.0</v>
      </c>
      <c r="G52" s="14" t="s">
        <v>32</v>
      </c>
      <c r="H52" s="14" t="s">
        <v>33</v>
      </c>
      <c r="I52" s="14" t="s">
        <v>34</v>
      </c>
      <c r="J52" s="14" t="s">
        <v>35</v>
      </c>
      <c r="K52" s="15" t="s">
        <v>491</v>
      </c>
      <c r="L52" s="14" t="s">
        <v>492</v>
      </c>
      <c r="M52" s="14">
        <v>38.0</v>
      </c>
      <c r="N52" s="14" t="s">
        <v>493</v>
      </c>
      <c r="O52" s="14" t="s">
        <v>494</v>
      </c>
      <c r="P52" s="14" t="s">
        <v>495</v>
      </c>
      <c r="Q52" s="14" t="s">
        <v>41</v>
      </c>
      <c r="R52" s="14" t="s">
        <v>42</v>
      </c>
      <c r="S52" s="14" t="s">
        <v>138</v>
      </c>
      <c r="T52" s="14" t="s">
        <v>44</v>
      </c>
      <c r="U52" s="14" t="s">
        <v>45</v>
      </c>
      <c r="V52" s="14" t="s">
        <v>46</v>
      </c>
      <c r="W52" s="14" t="s">
        <v>47</v>
      </c>
      <c r="X52" s="15" t="s">
        <v>496</v>
      </c>
      <c r="Y52" s="14" t="s">
        <v>329</v>
      </c>
      <c r="Z52" s="14" t="s">
        <v>70</v>
      </c>
      <c r="AA52" s="16" t="s">
        <v>497</v>
      </c>
    </row>
    <row r="53">
      <c r="A53" s="14" t="s">
        <v>498</v>
      </c>
      <c r="B53" s="14" t="s">
        <v>28</v>
      </c>
      <c r="C53" s="14" t="s">
        <v>448</v>
      </c>
      <c r="D53" s="14" t="s">
        <v>489</v>
      </c>
      <c r="E53" s="14" t="s">
        <v>490</v>
      </c>
      <c r="F53" s="14">
        <v>2025.0</v>
      </c>
      <c r="G53" s="14" t="s">
        <v>32</v>
      </c>
      <c r="H53" s="14" t="s">
        <v>33</v>
      </c>
      <c r="I53" s="14" t="s">
        <v>34</v>
      </c>
      <c r="J53" s="14" t="s">
        <v>35</v>
      </c>
      <c r="K53" s="15" t="s">
        <v>499</v>
      </c>
      <c r="L53" s="14" t="s">
        <v>500</v>
      </c>
      <c r="M53" s="14">
        <v>26.0</v>
      </c>
      <c r="N53" s="14" t="s">
        <v>501</v>
      </c>
      <c r="O53" s="14" t="s">
        <v>502</v>
      </c>
      <c r="P53" s="14" t="s">
        <v>503</v>
      </c>
      <c r="Q53" s="14" t="s">
        <v>41</v>
      </c>
      <c r="R53" s="14" t="s">
        <v>78</v>
      </c>
      <c r="S53" s="14" t="s">
        <v>79</v>
      </c>
      <c r="T53" s="14" t="s">
        <v>504</v>
      </c>
      <c r="U53" s="14" t="s">
        <v>45</v>
      </c>
      <c r="V53" s="14" t="s">
        <v>505</v>
      </c>
      <c r="W53" s="14" t="s">
        <v>47</v>
      </c>
      <c r="X53" s="15" t="s">
        <v>506</v>
      </c>
      <c r="Y53" s="14" t="s">
        <v>329</v>
      </c>
      <c r="Z53" s="14" t="s">
        <v>70</v>
      </c>
      <c r="AA53" s="16" t="s">
        <v>507</v>
      </c>
    </row>
    <row r="54">
      <c r="A54" s="14" t="s">
        <v>508</v>
      </c>
      <c r="B54" s="14" t="s">
        <v>28</v>
      </c>
      <c r="C54" s="14" t="s">
        <v>448</v>
      </c>
      <c r="D54" s="14" t="s">
        <v>489</v>
      </c>
      <c r="E54" s="14" t="s">
        <v>490</v>
      </c>
      <c r="F54" s="14">
        <v>2025.0</v>
      </c>
      <c r="G54" s="14" t="s">
        <v>32</v>
      </c>
      <c r="H54" s="14" t="s">
        <v>33</v>
      </c>
      <c r="I54" s="14" t="s">
        <v>34</v>
      </c>
      <c r="J54" s="14" t="s">
        <v>35</v>
      </c>
      <c r="K54" s="15" t="s">
        <v>509</v>
      </c>
      <c r="L54" s="14" t="s">
        <v>510</v>
      </c>
      <c r="M54" s="14">
        <v>32.0</v>
      </c>
      <c r="N54" s="14" t="s">
        <v>511</v>
      </c>
      <c r="O54" s="14" t="s">
        <v>512</v>
      </c>
      <c r="P54" s="14" t="s">
        <v>513</v>
      </c>
      <c r="Q54" s="14" t="s">
        <v>41</v>
      </c>
      <c r="R54" s="14" t="s">
        <v>404</v>
      </c>
      <c r="S54" s="14" t="s">
        <v>405</v>
      </c>
      <c r="T54" s="14" t="s">
        <v>178</v>
      </c>
      <c r="U54" s="14" t="s">
        <v>45</v>
      </c>
      <c r="V54" s="14" t="s">
        <v>514</v>
      </c>
      <c r="W54" s="14" t="s">
        <v>47</v>
      </c>
      <c r="X54" s="15" t="s">
        <v>515</v>
      </c>
      <c r="Y54" s="14" t="s">
        <v>329</v>
      </c>
      <c r="Z54" s="14" t="s">
        <v>50</v>
      </c>
    </row>
    <row r="55">
      <c r="A55" s="14" t="s">
        <v>516</v>
      </c>
      <c r="B55" s="14" t="s">
        <v>28</v>
      </c>
      <c r="C55" s="14" t="s">
        <v>448</v>
      </c>
      <c r="D55" s="14" t="s">
        <v>489</v>
      </c>
      <c r="E55" s="14" t="s">
        <v>490</v>
      </c>
      <c r="F55" s="14">
        <v>2025.0</v>
      </c>
      <c r="G55" s="14" t="s">
        <v>32</v>
      </c>
      <c r="H55" s="14" t="s">
        <v>33</v>
      </c>
      <c r="I55" s="14" t="s">
        <v>34</v>
      </c>
      <c r="J55" s="14" t="s">
        <v>35</v>
      </c>
      <c r="K55" s="15" t="s">
        <v>517</v>
      </c>
      <c r="L55" s="14" t="s">
        <v>518</v>
      </c>
      <c r="M55" s="14">
        <v>31.0</v>
      </c>
      <c r="N55" s="14" t="s">
        <v>519</v>
      </c>
      <c r="O55" s="14" t="s">
        <v>520</v>
      </c>
      <c r="P55" s="14" t="s">
        <v>521</v>
      </c>
      <c r="Q55" s="14" t="s">
        <v>41</v>
      </c>
      <c r="R55" s="14" t="s">
        <v>42</v>
      </c>
      <c r="S55" s="14" t="s">
        <v>522</v>
      </c>
      <c r="T55" s="14" t="s">
        <v>44</v>
      </c>
      <c r="U55" s="14" t="s">
        <v>45</v>
      </c>
      <c r="V55" s="14" t="s">
        <v>46</v>
      </c>
      <c r="W55" s="14" t="s">
        <v>47</v>
      </c>
      <c r="X55" s="15" t="s">
        <v>523</v>
      </c>
      <c r="Y55" s="14" t="s">
        <v>329</v>
      </c>
      <c r="Z55" s="14" t="s">
        <v>70</v>
      </c>
      <c r="AA55" s="16" t="s">
        <v>524</v>
      </c>
    </row>
    <row r="56">
      <c r="A56" s="14" t="s">
        <v>525</v>
      </c>
      <c r="B56" s="14" t="s">
        <v>28</v>
      </c>
      <c r="C56" s="14" t="s">
        <v>448</v>
      </c>
      <c r="D56" s="14" t="s">
        <v>489</v>
      </c>
      <c r="E56" s="14" t="s">
        <v>490</v>
      </c>
      <c r="F56" s="14">
        <v>2025.0</v>
      </c>
      <c r="G56" s="14" t="s">
        <v>32</v>
      </c>
      <c r="H56" s="14" t="s">
        <v>33</v>
      </c>
      <c r="I56" s="14" t="s">
        <v>34</v>
      </c>
      <c r="J56" s="14" t="s">
        <v>35</v>
      </c>
      <c r="K56" s="15" t="s">
        <v>526</v>
      </c>
      <c r="L56" s="14" t="s">
        <v>500</v>
      </c>
      <c r="M56" s="14">
        <v>30.0</v>
      </c>
      <c r="N56" s="14" t="s">
        <v>527</v>
      </c>
      <c r="O56" s="14" t="s">
        <v>528</v>
      </c>
      <c r="P56" s="14" t="s">
        <v>529</v>
      </c>
      <c r="Q56" s="14" t="s">
        <v>41</v>
      </c>
      <c r="R56" s="14" t="s">
        <v>78</v>
      </c>
      <c r="S56" s="14" t="s">
        <v>89</v>
      </c>
      <c r="T56" s="14" t="s">
        <v>90</v>
      </c>
      <c r="U56" s="14" t="s">
        <v>45</v>
      </c>
      <c r="V56" s="14" t="s">
        <v>46</v>
      </c>
      <c r="W56" s="14" t="s">
        <v>47</v>
      </c>
      <c r="X56" s="15" t="s">
        <v>530</v>
      </c>
      <c r="Y56" s="14" t="s">
        <v>329</v>
      </c>
      <c r="Z56" s="14" t="s">
        <v>70</v>
      </c>
      <c r="AA56" s="16" t="s">
        <v>531</v>
      </c>
    </row>
    <row r="57">
      <c r="A57" s="14" t="s">
        <v>532</v>
      </c>
      <c r="B57" s="14" t="s">
        <v>28</v>
      </c>
      <c r="C57" s="14" t="s">
        <v>533</v>
      </c>
      <c r="D57" s="14" t="s">
        <v>534</v>
      </c>
      <c r="E57" s="14" t="s">
        <v>535</v>
      </c>
      <c r="F57" s="14">
        <v>2025.0</v>
      </c>
      <c r="G57" s="14" t="s">
        <v>32</v>
      </c>
      <c r="H57" s="14" t="s">
        <v>33</v>
      </c>
      <c r="I57" s="14" t="s">
        <v>34</v>
      </c>
      <c r="J57" s="14" t="s">
        <v>35</v>
      </c>
      <c r="K57" s="15" t="s">
        <v>536</v>
      </c>
      <c r="L57" s="14" t="s">
        <v>537</v>
      </c>
      <c r="M57" s="14">
        <v>18.0</v>
      </c>
      <c r="N57" s="14" t="s">
        <v>538</v>
      </c>
      <c r="O57" s="14" t="s">
        <v>539</v>
      </c>
      <c r="P57" s="14" t="s">
        <v>540</v>
      </c>
      <c r="Q57" s="14" t="s">
        <v>41</v>
      </c>
      <c r="R57" s="14" t="s">
        <v>42</v>
      </c>
      <c r="S57" s="14" t="s">
        <v>67</v>
      </c>
      <c r="T57" s="14" t="s">
        <v>58</v>
      </c>
      <c r="U57" s="14" t="s">
        <v>45</v>
      </c>
      <c r="V57" s="14" t="s">
        <v>46</v>
      </c>
      <c r="W57" s="14" t="s">
        <v>47</v>
      </c>
      <c r="X57" s="15" t="s">
        <v>541</v>
      </c>
      <c r="Y57" s="14" t="s">
        <v>329</v>
      </c>
      <c r="Z57" s="14" t="s">
        <v>50</v>
      </c>
    </row>
    <row r="58">
      <c r="A58" s="14" t="s">
        <v>542</v>
      </c>
      <c r="B58" s="14" t="s">
        <v>28</v>
      </c>
      <c r="C58" s="14" t="s">
        <v>533</v>
      </c>
      <c r="D58" s="14" t="s">
        <v>534</v>
      </c>
      <c r="E58" s="14" t="s">
        <v>535</v>
      </c>
      <c r="F58" s="14">
        <v>2025.0</v>
      </c>
      <c r="G58" s="14" t="s">
        <v>32</v>
      </c>
      <c r="H58" s="14" t="s">
        <v>33</v>
      </c>
      <c r="I58" s="14" t="s">
        <v>34</v>
      </c>
      <c r="J58" s="14" t="s">
        <v>35</v>
      </c>
      <c r="K58" s="15" t="s">
        <v>543</v>
      </c>
      <c r="L58" s="14" t="s">
        <v>544</v>
      </c>
      <c r="M58" s="14">
        <v>26.0</v>
      </c>
      <c r="N58" s="14" t="s">
        <v>545</v>
      </c>
      <c r="O58" s="14" t="s">
        <v>546</v>
      </c>
      <c r="P58" s="14" t="s">
        <v>547</v>
      </c>
      <c r="Q58" s="14" t="s">
        <v>41</v>
      </c>
      <c r="R58" s="14" t="s">
        <v>273</v>
      </c>
      <c r="S58" s="14" t="s">
        <v>548</v>
      </c>
      <c r="T58" s="14" t="s">
        <v>275</v>
      </c>
      <c r="U58" s="14" t="s">
        <v>45</v>
      </c>
      <c r="V58" s="14" t="s">
        <v>549</v>
      </c>
      <c r="W58" s="14" t="s">
        <v>47</v>
      </c>
      <c r="X58" s="15" t="s">
        <v>550</v>
      </c>
      <c r="Y58" s="14" t="s">
        <v>329</v>
      </c>
      <c r="Z58" s="14" t="s">
        <v>50</v>
      </c>
    </row>
    <row r="59">
      <c r="A59" s="14" t="s">
        <v>551</v>
      </c>
      <c r="B59" s="14" t="s">
        <v>28</v>
      </c>
      <c r="C59" s="14" t="s">
        <v>533</v>
      </c>
      <c r="D59" s="14" t="s">
        <v>534</v>
      </c>
      <c r="E59" s="14" t="s">
        <v>535</v>
      </c>
      <c r="F59" s="14">
        <v>2025.0</v>
      </c>
      <c r="G59" s="14" t="s">
        <v>32</v>
      </c>
      <c r="H59" s="14" t="s">
        <v>33</v>
      </c>
      <c r="I59" s="14" t="s">
        <v>34</v>
      </c>
      <c r="J59" s="14" t="s">
        <v>35</v>
      </c>
      <c r="K59" s="15" t="s">
        <v>552</v>
      </c>
      <c r="L59" s="14" t="s">
        <v>553</v>
      </c>
      <c r="M59" s="14">
        <v>23.0</v>
      </c>
      <c r="N59" s="14" t="s">
        <v>554</v>
      </c>
      <c r="O59" s="14" t="s">
        <v>555</v>
      </c>
      <c r="P59" s="14" t="s">
        <v>556</v>
      </c>
      <c r="Q59" s="14" t="s">
        <v>41</v>
      </c>
      <c r="R59" s="14" t="s">
        <v>56</v>
      </c>
      <c r="S59" s="14" t="s">
        <v>57</v>
      </c>
      <c r="T59" s="14" t="s">
        <v>128</v>
      </c>
      <c r="U59" s="14" t="s">
        <v>45</v>
      </c>
      <c r="V59" s="14" t="s">
        <v>557</v>
      </c>
      <c r="W59" s="14" t="s">
        <v>47</v>
      </c>
      <c r="X59" s="15" t="s">
        <v>558</v>
      </c>
      <c r="Y59" s="14" t="s">
        <v>329</v>
      </c>
      <c r="Z59" s="14" t="s">
        <v>50</v>
      </c>
    </row>
    <row r="60">
      <c r="A60" s="14" t="s">
        <v>559</v>
      </c>
      <c r="B60" s="14" t="s">
        <v>28</v>
      </c>
      <c r="C60" s="14" t="s">
        <v>533</v>
      </c>
      <c r="D60" s="14" t="s">
        <v>534</v>
      </c>
      <c r="E60" s="14" t="s">
        <v>535</v>
      </c>
      <c r="F60" s="14">
        <v>2025.0</v>
      </c>
      <c r="G60" s="14" t="s">
        <v>32</v>
      </c>
      <c r="H60" s="14" t="s">
        <v>33</v>
      </c>
      <c r="I60" s="14" t="s">
        <v>34</v>
      </c>
      <c r="J60" s="14" t="s">
        <v>35</v>
      </c>
      <c r="K60" s="15" t="s">
        <v>560</v>
      </c>
      <c r="L60" s="14" t="s">
        <v>561</v>
      </c>
      <c r="M60" s="14">
        <v>31.0</v>
      </c>
      <c r="N60" s="14" t="s">
        <v>562</v>
      </c>
      <c r="O60" s="14" t="s">
        <v>563</v>
      </c>
      <c r="P60" s="14" t="s">
        <v>564</v>
      </c>
      <c r="Q60" s="14" t="s">
        <v>41</v>
      </c>
      <c r="R60" s="14" t="s">
        <v>42</v>
      </c>
      <c r="S60" s="14" t="s">
        <v>138</v>
      </c>
      <c r="T60" s="14" t="s">
        <v>68</v>
      </c>
      <c r="U60" s="14" t="s">
        <v>45</v>
      </c>
      <c r="V60" s="14" t="s">
        <v>46</v>
      </c>
      <c r="W60" s="14" t="s">
        <v>47</v>
      </c>
      <c r="X60" s="15" t="s">
        <v>565</v>
      </c>
      <c r="Y60" s="14" t="s">
        <v>329</v>
      </c>
      <c r="Z60" s="14" t="s">
        <v>50</v>
      </c>
    </row>
    <row r="61">
      <c r="A61" s="14" t="s">
        <v>566</v>
      </c>
      <c r="B61" s="14" t="s">
        <v>28</v>
      </c>
      <c r="C61" s="14" t="s">
        <v>533</v>
      </c>
      <c r="D61" s="14" t="s">
        <v>534</v>
      </c>
      <c r="E61" s="14" t="s">
        <v>535</v>
      </c>
      <c r="F61" s="14">
        <v>2025.0</v>
      </c>
      <c r="G61" s="14" t="s">
        <v>32</v>
      </c>
      <c r="H61" s="14" t="s">
        <v>33</v>
      </c>
      <c r="I61" s="14" t="s">
        <v>34</v>
      </c>
      <c r="J61" s="14" t="s">
        <v>35</v>
      </c>
      <c r="K61" s="15" t="s">
        <v>567</v>
      </c>
      <c r="L61" s="14" t="s">
        <v>568</v>
      </c>
      <c r="M61" s="14">
        <v>24.0</v>
      </c>
      <c r="N61" s="14" t="s">
        <v>569</v>
      </c>
      <c r="O61" s="14" t="s">
        <v>570</v>
      </c>
      <c r="P61" s="14" t="s">
        <v>571</v>
      </c>
      <c r="Q61" s="14" t="s">
        <v>121</v>
      </c>
      <c r="R61" s="14" t="s">
        <v>78</v>
      </c>
      <c r="S61" s="14" t="s">
        <v>79</v>
      </c>
      <c r="T61" s="14" t="s">
        <v>44</v>
      </c>
      <c r="U61" s="14" t="s">
        <v>45</v>
      </c>
      <c r="V61" s="14" t="s">
        <v>572</v>
      </c>
      <c r="W61" s="14" t="s">
        <v>47</v>
      </c>
      <c r="X61" s="15" t="s">
        <v>573</v>
      </c>
      <c r="Y61" s="14" t="s">
        <v>329</v>
      </c>
      <c r="Z61" s="14" t="s">
        <v>50</v>
      </c>
    </row>
    <row r="62">
      <c r="A62" s="14" t="s">
        <v>574</v>
      </c>
      <c r="B62" s="14" t="s">
        <v>28</v>
      </c>
      <c r="C62" s="14" t="s">
        <v>533</v>
      </c>
      <c r="D62" s="14" t="s">
        <v>575</v>
      </c>
      <c r="E62" s="14" t="s">
        <v>576</v>
      </c>
      <c r="F62" s="14">
        <v>2025.0</v>
      </c>
      <c r="G62" s="14" t="s">
        <v>32</v>
      </c>
      <c r="H62" s="14" t="s">
        <v>33</v>
      </c>
      <c r="I62" s="14" t="s">
        <v>34</v>
      </c>
      <c r="J62" s="14" t="s">
        <v>35</v>
      </c>
      <c r="K62" s="15" t="s">
        <v>577</v>
      </c>
      <c r="L62" s="14" t="s">
        <v>578</v>
      </c>
      <c r="M62" s="14">
        <v>35.0</v>
      </c>
      <c r="N62" s="14" t="s">
        <v>579</v>
      </c>
      <c r="O62" s="14" t="s">
        <v>580</v>
      </c>
      <c r="P62" s="14" t="s">
        <v>581</v>
      </c>
      <c r="Q62" s="14" t="s">
        <v>41</v>
      </c>
      <c r="R62" s="14" t="s">
        <v>78</v>
      </c>
      <c r="S62" s="14" t="s">
        <v>89</v>
      </c>
      <c r="T62" s="14" t="s">
        <v>90</v>
      </c>
      <c r="U62" s="14" t="s">
        <v>45</v>
      </c>
      <c r="V62" s="14" t="s">
        <v>582</v>
      </c>
      <c r="W62" s="14" t="s">
        <v>47</v>
      </c>
      <c r="X62" s="15" t="s">
        <v>583</v>
      </c>
      <c r="Y62" s="14" t="s">
        <v>329</v>
      </c>
      <c r="Z62" s="14" t="s">
        <v>70</v>
      </c>
      <c r="AA62" s="16" t="s">
        <v>584</v>
      </c>
    </row>
    <row r="63">
      <c r="A63" s="14" t="s">
        <v>585</v>
      </c>
      <c r="B63" s="14" t="s">
        <v>28</v>
      </c>
      <c r="C63" s="14" t="s">
        <v>533</v>
      </c>
      <c r="D63" s="14" t="s">
        <v>575</v>
      </c>
      <c r="E63" s="14" t="s">
        <v>576</v>
      </c>
      <c r="F63" s="14">
        <v>2025.0</v>
      </c>
      <c r="G63" s="14" t="s">
        <v>32</v>
      </c>
      <c r="H63" s="14" t="s">
        <v>33</v>
      </c>
      <c r="I63" s="14" t="s">
        <v>34</v>
      </c>
      <c r="J63" s="14" t="s">
        <v>35</v>
      </c>
      <c r="K63" s="15" t="s">
        <v>586</v>
      </c>
      <c r="L63" s="14" t="s">
        <v>587</v>
      </c>
      <c r="M63" s="14">
        <v>34.0</v>
      </c>
      <c r="N63" s="14" t="s">
        <v>588</v>
      </c>
      <c r="O63" s="14" t="s">
        <v>589</v>
      </c>
      <c r="P63" s="14" t="s">
        <v>590</v>
      </c>
      <c r="Q63" s="14" t="s">
        <v>41</v>
      </c>
      <c r="R63" s="14" t="s">
        <v>56</v>
      </c>
      <c r="S63" s="14" t="s">
        <v>57</v>
      </c>
      <c r="T63" s="14" t="s">
        <v>128</v>
      </c>
      <c r="U63" s="14" t="s">
        <v>45</v>
      </c>
      <c r="V63" s="14" t="s">
        <v>591</v>
      </c>
      <c r="W63" s="14" t="s">
        <v>47</v>
      </c>
      <c r="X63" s="15" t="s">
        <v>592</v>
      </c>
      <c r="Y63" s="14" t="s">
        <v>329</v>
      </c>
      <c r="Z63" s="14" t="s">
        <v>50</v>
      </c>
    </row>
    <row r="64">
      <c r="A64" s="14" t="s">
        <v>593</v>
      </c>
      <c r="B64" s="14" t="s">
        <v>28</v>
      </c>
      <c r="C64" s="14" t="s">
        <v>533</v>
      </c>
      <c r="D64" s="14" t="s">
        <v>575</v>
      </c>
      <c r="E64" s="14" t="s">
        <v>576</v>
      </c>
      <c r="F64" s="14">
        <v>2025.0</v>
      </c>
      <c r="G64" s="14" t="s">
        <v>32</v>
      </c>
      <c r="H64" s="14" t="s">
        <v>33</v>
      </c>
      <c r="I64" s="14" t="s">
        <v>34</v>
      </c>
      <c r="J64" s="14" t="s">
        <v>35</v>
      </c>
      <c r="K64" s="15" t="s">
        <v>594</v>
      </c>
      <c r="L64" s="14" t="s">
        <v>595</v>
      </c>
      <c r="M64" s="14">
        <v>26.0</v>
      </c>
      <c r="N64" s="14" t="s">
        <v>596</v>
      </c>
      <c r="O64" s="14" t="s">
        <v>597</v>
      </c>
      <c r="P64" s="14" t="s">
        <v>598</v>
      </c>
      <c r="Q64" s="14" t="s">
        <v>41</v>
      </c>
      <c r="R64" s="14" t="s">
        <v>78</v>
      </c>
      <c r="S64" s="14" t="s">
        <v>79</v>
      </c>
      <c r="T64" s="14" t="s">
        <v>90</v>
      </c>
      <c r="U64" s="14" t="s">
        <v>45</v>
      </c>
      <c r="V64" s="14" t="s">
        <v>599</v>
      </c>
      <c r="W64" s="14" t="s">
        <v>47</v>
      </c>
      <c r="X64" s="15" t="s">
        <v>600</v>
      </c>
      <c r="Y64" s="14" t="s">
        <v>329</v>
      </c>
      <c r="Z64" s="14" t="s">
        <v>70</v>
      </c>
      <c r="AA64" s="16" t="s">
        <v>601</v>
      </c>
    </row>
    <row r="65">
      <c r="A65" s="14" t="s">
        <v>602</v>
      </c>
      <c r="B65" s="14" t="s">
        <v>28</v>
      </c>
      <c r="C65" s="14" t="s">
        <v>533</v>
      </c>
      <c r="D65" s="14" t="s">
        <v>575</v>
      </c>
      <c r="E65" s="14" t="s">
        <v>576</v>
      </c>
      <c r="F65" s="14">
        <v>2025.0</v>
      </c>
      <c r="G65" s="14" t="s">
        <v>32</v>
      </c>
      <c r="H65" s="14" t="s">
        <v>33</v>
      </c>
      <c r="I65" s="14" t="s">
        <v>34</v>
      </c>
      <c r="J65" s="14" t="s">
        <v>35</v>
      </c>
      <c r="K65" s="15" t="s">
        <v>603</v>
      </c>
      <c r="L65" s="14" t="s">
        <v>604</v>
      </c>
      <c r="M65" s="14">
        <v>21.0</v>
      </c>
      <c r="N65" s="14" t="s">
        <v>605</v>
      </c>
      <c r="O65" s="14" t="s">
        <v>606</v>
      </c>
      <c r="P65" s="14" t="s">
        <v>607</v>
      </c>
      <c r="Q65" s="14" t="s">
        <v>41</v>
      </c>
      <c r="R65" s="14" t="s">
        <v>404</v>
      </c>
      <c r="S65" s="14" t="s">
        <v>405</v>
      </c>
      <c r="T65" s="14" t="s">
        <v>178</v>
      </c>
      <c r="U65" s="14" t="s">
        <v>45</v>
      </c>
      <c r="V65" s="14" t="s">
        <v>608</v>
      </c>
      <c r="W65" s="14" t="s">
        <v>47</v>
      </c>
      <c r="X65" s="15" t="s">
        <v>609</v>
      </c>
      <c r="Y65" s="14" t="s">
        <v>329</v>
      </c>
      <c r="Z65" s="14" t="s">
        <v>70</v>
      </c>
      <c r="AA65" s="16" t="s">
        <v>610</v>
      </c>
    </row>
    <row r="66">
      <c r="A66" s="14" t="s">
        <v>611</v>
      </c>
      <c r="B66" s="14" t="s">
        <v>28</v>
      </c>
      <c r="C66" s="14" t="s">
        <v>533</v>
      </c>
      <c r="D66" s="14" t="s">
        <v>575</v>
      </c>
      <c r="E66" s="14" t="s">
        <v>576</v>
      </c>
      <c r="F66" s="14">
        <v>2025.0</v>
      </c>
      <c r="G66" s="14" t="s">
        <v>32</v>
      </c>
      <c r="H66" s="14" t="s">
        <v>33</v>
      </c>
      <c r="I66" s="14" t="s">
        <v>34</v>
      </c>
      <c r="J66" s="14" t="s">
        <v>35</v>
      </c>
      <c r="K66" s="15" t="s">
        <v>612</v>
      </c>
      <c r="L66" s="14" t="s">
        <v>613</v>
      </c>
      <c r="M66" s="14">
        <v>38.0</v>
      </c>
      <c r="N66" s="14" t="s">
        <v>614</v>
      </c>
      <c r="O66" s="14" t="s">
        <v>136</v>
      </c>
      <c r="P66" s="14" t="s">
        <v>615</v>
      </c>
      <c r="Q66" s="14" t="s">
        <v>41</v>
      </c>
      <c r="R66" s="14" t="s">
        <v>42</v>
      </c>
      <c r="S66" s="14" t="s">
        <v>43</v>
      </c>
      <c r="T66" s="14" t="s">
        <v>139</v>
      </c>
      <c r="U66" s="14" t="s">
        <v>45</v>
      </c>
      <c r="V66" s="14" t="s">
        <v>616</v>
      </c>
      <c r="W66" s="14" t="s">
        <v>47</v>
      </c>
      <c r="X66" s="15" t="s">
        <v>617</v>
      </c>
      <c r="Y66" s="14" t="s">
        <v>329</v>
      </c>
      <c r="Z66" s="14" t="s">
        <v>70</v>
      </c>
      <c r="AA66" s="16" t="s">
        <v>618</v>
      </c>
    </row>
    <row r="67">
      <c r="A67" s="2" t="s">
        <v>619</v>
      </c>
      <c r="B67" s="2" t="s">
        <v>28</v>
      </c>
      <c r="C67" s="2" t="s">
        <v>620</v>
      </c>
      <c r="D67" s="2" t="s">
        <v>321</v>
      </c>
      <c r="E67" s="2" t="s">
        <v>621</v>
      </c>
      <c r="F67" s="2">
        <v>2025.0</v>
      </c>
      <c r="G67" s="2" t="s">
        <v>32</v>
      </c>
      <c r="H67" s="2" t="s">
        <v>33</v>
      </c>
      <c r="I67" s="2" t="s">
        <v>34</v>
      </c>
      <c r="J67" s="2" t="s">
        <v>35</v>
      </c>
      <c r="K67" s="17" t="s">
        <v>622</v>
      </c>
      <c r="L67" s="12" t="s">
        <v>623</v>
      </c>
      <c r="M67" s="2">
        <v>16.0</v>
      </c>
      <c r="N67" s="12" t="s">
        <v>624</v>
      </c>
      <c r="O67" s="2" t="s">
        <v>625</v>
      </c>
      <c r="P67" s="2" t="s">
        <v>626</v>
      </c>
      <c r="Q67" s="2" t="s">
        <v>41</v>
      </c>
      <c r="R67" s="2" t="s">
        <v>56</v>
      </c>
      <c r="S67" s="2" t="s">
        <v>57</v>
      </c>
      <c r="T67" s="2" t="s">
        <v>128</v>
      </c>
      <c r="U67" s="2" t="s">
        <v>45</v>
      </c>
      <c r="V67" s="2" t="s">
        <v>627</v>
      </c>
      <c r="W67" s="2" t="s">
        <v>47</v>
      </c>
      <c r="X67" s="17" t="s">
        <v>628</v>
      </c>
      <c r="Y67" s="2" t="s">
        <v>329</v>
      </c>
      <c r="Z67" s="2" t="s">
        <v>50</v>
      </c>
      <c r="AA67" s="13" t="s">
        <v>629</v>
      </c>
    </row>
    <row r="68">
      <c r="A68" s="14" t="s">
        <v>630</v>
      </c>
      <c r="B68" s="14" t="s">
        <v>28</v>
      </c>
      <c r="C68" s="14" t="s">
        <v>620</v>
      </c>
      <c r="D68" s="14" t="s">
        <v>321</v>
      </c>
      <c r="E68" s="14" t="s">
        <v>621</v>
      </c>
      <c r="F68" s="14">
        <v>2025.0</v>
      </c>
      <c r="G68" s="14" t="s">
        <v>32</v>
      </c>
      <c r="H68" s="14" t="s">
        <v>33</v>
      </c>
      <c r="I68" s="14" t="s">
        <v>34</v>
      </c>
      <c r="J68" s="14" t="s">
        <v>35</v>
      </c>
      <c r="K68" s="15" t="s">
        <v>631</v>
      </c>
      <c r="L68" s="14" t="s">
        <v>632</v>
      </c>
      <c r="M68" s="14">
        <v>24.0</v>
      </c>
      <c r="N68" s="14" t="s">
        <v>633</v>
      </c>
      <c r="O68" s="14" t="s">
        <v>634</v>
      </c>
      <c r="P68" s="14" t="s">
        <v>635</v>
      </c>
      <c r="Q68" s="14" t="s">
        <v>41</v>
      </c>
      <c r="R68" s="14" t="s">
        <v>42</v>
      </c>
      <c r="S68" s="14" t="s">
        <v>67</v>
      </c>
      <c r="T68" s="14" t="s">
        <v>188</v>
      </c>
      <c r="U68" s="14" t="s">
        <v>45</v>
      </c>
      <c r="V68" s="14" t="s">
        <v>46</v>
      </c>
      <c r="W68" s="14" t="s">
        <v>47</v>
      </c>
      <c r="X68" s="15" t="s">
        <v>636</v>
      </c>
      <c r="Y68" s="14" t="s">
        <v>329</v>
      </c>
      <c r="Z68" s="14" t="s">
        <v>50</v>
      </c>
    </row>
    <row r="69">
      <c r="A69" s="14" t="s">
        <v>637</v>
      </c>
      <c r="B69" s="14" t="s">
        <v>28</v>
      </c>
      <c r="C69" s="14" t="s">
        <v>620</v>
      </c>
      <c r="D69" s="14" t="s">
        <v>321</v>
      </c>
      <c r="E69" s="14" t="s">
        <v>621</v>
      </c>
      <c r="F69" s="14">
        <v>2025.0</v>
      </c>
      <c r="G69" s="14" t="s">
        <v>32</v>
      </c>
      <c r="H69" s="14" t="s">
        <v>33</v>
      </c>
      <c r="I69" s="14" t="s">
        <v>34</v>
      </c>
      <c r="J69" s="14" t="s">
        <v>35</v>
      </c>
      <c r="K69" s="15" t="s">
        <v>638</v>
      </c>
      <c r="L69" s="14" t="s">
        <v>639</v>
      </c>
      <c r="M69" s="14">
        <v>19.0</v>
      </c>
      <c r="N69" s="14" t="s">
        <v>640</v>
      </c>
      <c r="O69" s="14" t="s">
        <v>641</v>
      </c>
      <c r="P69" s="14" t="s">
        <v>642</v>
      </c>
      <c r="Q69" s="14" t="s">
        <v>41</v>
      </c>
      <c r="R69" s="14" t="s">
        <v>273</v>
      </c>
      <c r="S69" s="14" t="s">
        <v>383</v>
      </c>
      <c r="T69" s="14" t="s">
        <v>275</v>
      </c>
      <c r="U69" s="14" t="s">
        <v>45</v>
      </c>
      <c r="V69" s="14" t="s">
        <v>643</v>
      </c>
      <c r="W69" s="14" t="s">
        <v>47</v>
      </c>
      <c r="X69" s="15" t="s">
        <v>644</v>
      </c>
      <c r="Y69" s="14" t="s">
        <v>329</v>
      </c>
      <c r="Z69" s="14" t="s">
        <v>50</v>
      </c>
    </row>
    <row r="70">
      <c r="A70" s="14" t="s">
        <v>645</v>
      </c>
      <c r="B70" s="14" t="s">
        <v>28</v>
      </c>
      <c r="C70" s="14" t="s">
        <v>620</v>
      </c>
      <c r="D70" s="14" t="s">
        <v>321</v>
      </c>
      <c r="E70" s="14" t="s">
        <v>621</v>
      </c>
      <c r="F70" s="14">
        <v>2025.0</v>
      </c>
      <c r="G70" s="14" t="s">
        <v>32</v>
      </c>
      <c r="H70" s="14" t="s">
        <v>33</v>
      </c>
      <c r="I70" s="14" t="s">
        <v>34</v>
      </c>
      <c r="J70" s="14" t="s">
        <v>35</v>
      </c>
      <c r="K70" s="15" t="s">
        <v>646</v>
      </c>
      <c r="L70" s="14" t="s">
        <v>647</v>
      </c>
      <c r="M70" s="14">
        <v>26.0</v>
      </c>
      <c r="N70" s="14" t="s">
        <v>648</v>
      </c>
      <c r="O70" s="14" t="s">
        <v>649</v>
      </c>
      <c r="P70" s="14" t="s">
        <v>650</v>
      </c>
      <c r="Q70" s="14" t="s">
        <v>41</v>
      </c>
      <c r="R70" s="14" t="s">
        <v>42</v>
      </c>
      <c r="S70" s="14" t="s">
        <v>153</v>
      </c>
      <c r="T70" s="14" t="s">
        <v>44</v>
      </c>
      <c r="U70" s="14" t="s">
        <v>45</v>
      </c>
      <c r="V70" s="14" t="s">
        <v>651</v>
      </c>
      <c r="W70" s="14" t="s">
        <v>47</v>
      </c>
      <c r="X70" s="15" t="s">
        <v>652</v>
      </c>
      <c r="Y70" s="14" t="s">
        <v>329</v>
      </c>
      <c r="Z70" s="14" t="s">
        <v>50</v>
      </c>
    </row>
    <row r="71">
      <c r="A71" s="14" t="s">
        <v>653</v>
      </c>
      <c r="B71" s="14" t="s">
        <v>28</v>
      </c>
      <c r="C71" s="14" t="s">
        <v>620</v>
      </c>
      <c r="D71" s="14" t="s">
        <v>321</v>
      </c>
      <c r="E71" s="14" t="s">
        <v>621</v>
      </c>
      <c r="F71" s="14">
        <v>2025.0</v>
      </c>
      <c r="G71" s="14" t="s">
        <v>32</v>
      </c>
      <c r="H71" s="14" t="s">
        <v>33</v>
      </c>
      <c r="I71" s="14" t="s">
        <v>34</v>
      </c>
      <c r="J71" s="14" t="s">
        <v>35</v>
      </c>
      <c r="K71" s="15" t="s">
        <v>654</v>
      </c>
      <c r="L71" s="14" t="s">
        <v>655</v>
      </c>
      <c r="M71" s="14">
        <v>28.0</v>
      </c>
      <c r="N71" s="14" t="s">
        <v>656</v>
      </c>
      <c r="O71" s="14" t="s">
        <v>657</v>
      </c>
      <c r="P71" s="14" t="s">
        <v>658</v>
      </c>
      <c r="Q71" s="14" t="s">
        <v>41</v>
      </c>
      <c r="R71" s="14" t="s">
        <v>273</v>
      </c>
      <c r="S71" s="14" t="s">
        <v>548</v>
      </c>
      <c r="T71" s="14" t="s">
        <v>58</v>
      </c>
      <c r="U71" s="14" t="s">
        <v>45</v>
      </c>
      <c r="V71" s="14" t="s">
        <v>46</v>
      </c>
      <c r="W71" s="14" t="s">
        <v>47</v>
      </c>
      <c r="X71" s="15" t="s">
        <v>659</v>
      </c>
      <c r="Y71" s="14" t="s">
        <v>329</v>
      </c>
      <c r="Z71" s="14" t="s">
        <v>50</v>
      </c>
    </row>
    <row r="72">
      <c r="A72" s="14" t="s">
        <v>660</v>
      </c>
      <c r="B72" s="14" t="s">
        <v>28</v>
      </c>
      <c r="C72" s="14" t="s">
        <v>620</v>
      </c>
      <c r="D72" s="14" t="s">
        <v>661</v>
      </c>
      <c r="E72" s="14" t="s">
        <v>662</v>
      </c>
      <c r="F72" s="14">
        <v>2025.0</v>
      </c>
      <c r="G72" s="14" t="s">
        <v>32</v>
      </c>
      <c r="H72" s="14" t="s">
        <v>33</v>
      </c>
      <c r="I72" s="14" t="s">
        <v>34</v>
      </c>
      <c r="J72" s="14" t="s">
        <v>35</v>
      </c>
      <c r="K72" s="15" t="s">
        <v>663</v>
      </c>
      <c r="L72" s="14" t="s">
        <v>664</v>
      </c>
      <c r="M72" s="14">
        <v>14.0</v>
      </c>
      <c r="N72" s="14" t="s">
        <v>624</v>
      </c>
      <c r="O72" s="14" t="s">
        <v>665</v>
      </c>
      <c r="P72" s="14" t="s">
        <v>127</v>
      </c>
      <c r="Q72" s="14" t="s">
        <v>41</v>
      </c>
      <c r="R72" s="14" t="s">
        <v>42</v>
      </c>
      <c r="S72" s="14" t="s">
        <v>43</v>
      </c>
      <c r="T72" s="14" t="s">
        <v>128</v>
      </c>
      <c r="U72" s="14" t="s">
        <v>45</v>
      </c>
      <c r="V72" s="14" t="s">
        <v>666</v>
      </c>
      <c r="W72" s="14" t="s">
        <v>47</v>
      </c>
      <c r="X72" s="15" t="s">
        <v>667</v>
      </c>
      <c r="Y72" s="14" t="s">
        <v>329</v>
      </c>
      <c r="Z72" s="14" t="s">
        <v>50</v>
      </c>
    </row>
    <row r="73">
      <c r="A73" s="14" t="s">
        <v>668</v>
      </c>
      <c r="B73" s="14" t="s">
        <v>28</v>
      </c>
      <c r="C73" s="14" t="s">
        <v>620</v>
      </c>
      <c r="D73" s="14" t="s">
        <v>661</v>
      </c>
      <c r="E73" s="14" t="s">
        <v>662</v>
      </c>
      <c r="F73" s="14">
        <v>2025.0</v>
      </c>
      <c r="G73" s="14" t="s">
        <v>32</v>
      </c>
      <c r="H73" s="14" t="s">
        <v>33</v>
      </c>
      <c r="I73" s="14" t="s">
        <v>34</v>
      </c>
      <c r="J73" s="14" t="s">
        <v>35</v>
      </c>
      <c r="K73" s="15" t="s">
        <v>669</v>
      </c>
      <c r="L73" s="14" t="s">
        <v>670</v>
      </c>
      <c r="M73" s="14">
        <v>16.0</v>
      </c>
      <c r="N73" s="14" t="s">
        <v>671</v>
      </c>
      <c r="O73" s="14" t="s">
        <v>672</v>
      </c>
      <c r="P73" s="14" t="s">
        <v>673</v>
      </c>
      <c r="Q73" s="14" t="s">
        <v>41</v>
      </c>
      <c r="R73" s="14" t="s">
        <v>56</v>
      </c>
      <c r="S73" s="14" t="s">
        <v>293</v>
      </c>
      <c r="T73" s="14" t="s">
        <v>68</v>
      </c>
      <c r="U73" s="14" t="s">
        <v>45</v>
      </c>
      <c r="V73" s="14" t="s">
        <v>46</v>
      </c>
      <c r="W73" s="14" t="s">
        <v>47</v>
      </c>
      <c r="X73" s="15" t="s">
        <v>674</v>
      </c>
      <c r="Y73" s="14" t="s">
        <v>329</v>
      </c>
      <c r="Z73" s="14" t="s">
        <v>70</v>
      </c>
      <c r="AA73" s="16" t="s">
        <v>675</v>
      </c>
    </row>
    <row r="74">
      <c r="A74" s="14" t="s">
        <v>676</v>
      </c>
      <c r="B74" s="14" t="s">
        <v>28</v>
      </c>
      <c r="C74" s="14" t="s">
        <v>620</v>
      </c>
      <c r="D74" s="14" t="s">
        <v>661</v>
      </c>
      <c r="E74" s="14" t="s">
        <v>662</v>
      </c>
      <c r="F74" s="14">
        <v>2025.0</v>
      </c>
      <c r="G74" s="14" t="s">
        <v>32</v>
      </c>
      <c r="H74" s="14" t="s">
        <v>33</v>
      </c>
      <c r="I74" s="14" t="s">
        <v>34</v>
      </c>
      <c r="J74" s="14" t="s">
        <v>35</v>
      </c>
      <c r="K74" s="15" t="s">
        <v>677</v>
      </c>
      <c r="L74" s="14" t="s">
        <v>678</v>
      </c>
      <c r="M74" s="14">
        <v>17.0</v>
      </c>
      <c r="N74" s="14" t="s">
        <v>679</v>
      </c>
      <c r="O74" s="14" t="s">
        <v>680</v>
      </c>
      <c r="P74" s="14" t="s">
        <v>681</v>
      </c>
      <c r="Q74" s="14" t="s">
        <v>41</v>
      </c>
      <c r="R74" s="14" t="s">
        <v>78</v>
      </c>
      <c r="S74" s="14" t="s">
        <v>79</v>
      </c>
      <c r="T74" s="14" t="s">
        <v>128</v>
      </c>
      <c r="U74" s="14" t="s">
        <v>45</v>
      </c>
      <c r="V74" s="14" t="s">
        <v>46</v>
      </c>
      <c r="W74" s="14" t="s">
        <v>47</v>
      </c>
      <c r="X74" s="15" t="s">
        <v>682</v>
      </c>
      <c r="Y74" s="14" t="s">
        <v>329</v>
      </c>
      <c r="Z74" s="14" t="s">
        <v>70</v>
      </c>
      <c r="AA74" s="16" t="s">
        <v>683</v>
      </c>
    </row>
    <row r="75">
      <c r="A75" s="14" t="s">
        <v>684</v>
      </c>
      <c r="B75" s="14" t="s">
        <v>28</v>
      </c>
      <c r="C75" s="14" t="s">
        <v>620</v>
      </c>
      <c r="D75" s="14" t="s">
        <v>661</v>
      </c>
      <c r="E75" s="14" t="s">
        <v>662</v>
      </c>
      <c r="F75" s="14">
        <v>2025.0</v>
      </c>
      <c r="G75" s="14" t="s">
        <v>32</v>
      </c>
      <c r="H75" s="14" t="s">
        <v>33</v>
      </c>
      <c r="I75" s="14" t="s">
        <v>34</v>
      </c>
      <c r="J75" s="14" t="s">
        <v>35</v>
      </c>
      <c r="K75" s="15" t="s">
        <v>685</v>
      </c>
      <c r="L75" s="14" t="s">
        <v>686</v>
      </c>
      <c r="M75" s="14">
        <v>8.0</v>
      </c>
      <c r="N75" s="14" t="s">
        <v>687</v>
      </c>
      <c r="O75" s="14" t="s">
        <v>688</v>
      </c>
      <c r="P75" s="14" t="s">
        <v>689</v>
      </c>
      <c r="Q75" s="14" t="s">
        <v>41</v>
      </c>
      <c r="R75" s="14" t="s">
        <v>78</v>
      </c>
      <c r="S75" s="14" t="s">
        <v>89</v>
      </c>
      <c r="T75" s="14" t="s">
        <v>128</v>
      </c>
      <c r="U75" s="14" t="s">
        <v>45</v>
      </c>
      <c r="V75" s="14" t="s">
        <v>690</v>
      </c>
      <c r="W75" s="14" t="s">
        <v>47</v>
      </c>
      <c r="X75" s="15" t="s">
        <v>691</v>
      </c>
      <c r="Y75" s="14" t="s">
        <v>329</v>
      </c>
      <c r="Z75" s="14" t="s">
        <v>50</v>
      </c>
    </row>
    <row r="76">
      <c r="A76" s="14" t="s">
        <v>692</v>
      </c>
      <c r="B76" s="14" t="s">
        <v>28</v>
      </c>
      <c r="C76" s="14" t="s">
        <v>620</v>
      </c>
      <c r="D76" s="14" t="s">
        <v>661</v>
      </c>
      <c r="E76" s="14" t="s">
        <v>662</v>
      </c>
      <c r="F76" s="14">
        <v>2025.0</v>
      </c>
      <c r="G76" s="14" t="s">
        <v>32</v>
      </c>
      <c r="H76" s="14" t="s">
        <v>33</v>
      </c>
      <c r="I76" s="14" t="s">
        <v>34</v>
      </c>
      <c r="J76" s="14" t="s">
        <v>35</v>
      </c>
      <c r="K76" s="15" t="s">
        <v>693</v>
      </c>
      <c r="L76" s="14" t="s">
        <v>694</v>
      </c>
      <c r="M76" s="14">
        <v>24.0</v>
      </c>
      <c r="N76" s="14" t="s">
        <v>695</v>
      </c>
      <c r="O76" s="14" t="s">
        <v>696</v>
      </c>
      <c r="P76" s="14" t="s">
        <v>697</v>
      </c>
      <c r="Q76" s="14" t="s">
        <v>41</v>
      </c>
      <c r="R76" s="14" t="s">
        <v>56</v>
      </c>
      <c r="S76" s="14" t="s">
        <v>57</v>
      </c>
      <c r="T76" s="14" t="s">
        <v>160</v>
      </c>
      <c r="U76" s="14" t="s">
        <v>45</v>
      </c>
      <c r="V76" s="14" t="s">
        <v>698</v>
      </c>
      <c r="W76" s="14" t="s">
        <v>47</v>
      </c>
      <c r="X76" s="15" t="s">
        <v>699</v>
      </c>
      <c r="Y76" s="14" t="s">
        <v>329</v>
      </c>
      <c r="Z76" s="14" t="s">
        <v>50</v>
      </c>
    </row>
    <row r="77">
      <c r="A77" s="12" t="s">
        <v>700</v>
      </c>
      <c r="B77" s="2" t="s">
        <v>28</v>
      </c>
      <c r="C77" s="2" t="s">
        <v>620</v>
      </c>
      <c r="D77" s="2" t="s">
        <v>321</v>
      </c>
      <c r="E77" s="2" t="s">
        <v>621</v>
      </c>
      <c r="F77" s="2">
        <v>2025.0</v>
      </c>
      <c r="G77" s="2" t="s">
        <v>32</v>
      </c>
      <c r="H77" s="2" t="s">
        <v>33</v>
      </c>
      <c r="I77" s="2" t="s">
        <v>34</v>
      </c>
      <c r="J77" s="2" t="s">
        <v>35</v>
      </c>
      <c r="K77" s="17" t="s">
        <v>701</v>
      </c>
      <c r="L77" s="12" t="s">
        <v>702</v>
      </c>
      <c r="M77" s="2">
        <v>28.0</v>
      </c>
      <c r="N77" s="12" t="s">
        <v>703</v>
      </c>
      <c r="O77" s="12" t="s">
        <v>704</v>
      </c>
      <c r="P77" s="12" t="s">
        <v>705</v>
      </c>
      <c r="Q77" s="2" t="s">
        <v>41</v>
      </c>
      <c r="R77" s="12" t="s">
        <v>42</v>
      </c>
      <c r="S77" s="2" t="s">
        <v>548</v>
      </c>
      <c r="T77" s="12" t="s">
        <v>44</v>
      </c>
      <c r="U77" s="2" t="s">
        <v>45</v>
      </c>
      <c r="V77" s="2" t="s">
        <v>46</v>
      </c>
      <c r="W77" s="2" t="s">
        <v>47</v>
      </c>
      <c r="X77" s="17" t="s">
        <v>706</v>
      </c>
      <c r="Y77" s="2" t="s">
        <v>329</v>
      </c>
      <c r="Z77" s="2" t="s">
        <v>50</v>
      </c>
      <c r="AA77" s="9"/>
    </row>
    <row r="78">
      <c r="A78" s="14" t="s">
        <v>707</v>
      </c>
      <c r="B78" s="14" t="s">
        <v>28</v>
      </c>
      <c r="C78" s="14" t="s">
        <v>708</v>
      </c>
      <c r="D78" s="14" t="s">
        <v>321</v>
      </c>
      <c r="E78" s="14" t="s">
        <v>709</v>
      </c>
      <c r="F78" s="14">
        <v>2025.0</v>
      </c>
      <c r="G78" s="14" t="s">
        <v>32</v>
      </c>
      <c r="H78" s="14" t="s">
        <v>33</v>
      </c>
      <c r="I78" s="14" t="s">
        <v>34</v>
      </c>
      <c r="J78" s="14" t="s">
        <v>35</v>
      </c>
      <c r="K78" s="15" t="s">
        <v>710</v>
      </c>
      <c r="L78" s="14" t="s">
        <v>711</v>
      </c>
      <c r="M78" s="14">
        <v>36.0</v>
      </c>
      <c r="N78" s="14" t="s">
        <v>712</v>
      </c>
      <c r="O78" s="14" t="s">
        <v>476</v>
      </c>
      <c r="P78" s="14" t="s">
        <v>713</v>
      </c>
      <c r="Q78" s="14" t="s">
        <v>41</v>
      </c>
      <c r="R78" s="14" t="s">
        <v>56</v>
      </c>
      <c r="S78" s="14" t="s">
        <v>714</v>
      </c>
      <c r="T78" s="14" t="s">
        <v>68</v>
      </c>
      <c r="U78" s="14" t="s">
        <v>45</v>
      </c>
      <c r="V78" s="14" t="s">
        <v>715</v>
      </c>
      <c r="W78" s="14" t="s">
        <v>47</v>
      </c>
      <c r="X78" s="15" t="s">
        <v>716</v>
      </c>
      <c r="Y78" s="14" t="s">
        <v>329</v>
      </c>
      <c r="Z78" s="14" t="s">
        <v>50</v>
      </c>
    </row>
    <row r="79">
      <c r="A79" s="14" t="s">
        <v>717</v>
      </c>
      <c r="B79" s="14" t="s">
        <v>28</v>
      </c>
      <c r="C79" s="14" t="s">
        <v>708</v>
      </c>
      <c r="D79" s="14" t="s">
        <v>321</v>
      </c>
      <c r="E79" s="14" t="s">
        <v>709</v>
      </c>
      <c r="F79" s="14">
        <v>2025.0</v>
      </c>
      <c r="G79" s="14" t="s">
        <v>32</v>
      </c>
      <c r="H79" s="14" t="s">
        <v>33</v>
      </c>
      <c r="I79" s="14" t="s">
        <v>34</v>
      </c>
      <c r="J79" s="14" t="s">
        <v>35</v>
      </c>
      <c r="K79" s="15" t="s">
        <v>718</v>
      </c>
      <c r="L79" s="14" t="s">
        <v>719</v>
      </c>
      <c r="M79" s="14">
        <v>21.0</v>
      </c>
      <c r="N79" s="14" t="s">
        <v>720</v>
      </c>
      <c r="O79" s="14" t="s">
        <v>721</v>
      </c>
      <c r="P79" s="14" t="s">
        <v>722</v>
      </c>
      <c r="Q79" s="14" t="s">
        <v>41</v>
      </c>
      <c r="R79" s="14" t="s">
        <v>273</v>
      </c>
      <c r="S79" s="14" t="s">
        <v>548</v>
      </c>
      <c r="T79" s="14" t="s">
        <v>58</v>
      </c>
      <c r="U79" s="14" t="s">
        <v>45</v>
      </c>
      <c r="V79" s="14" t="s">
        <v>723</v>
      </c>
      <c r="W79" s="14" t="s">
        <v>47</v>
      </c>
      <c r="X79" s="15" t="s">
        <v>724</v>
      </c>
      <c r="Y79" s="14" t="s">
        <v>329</v>
      </c>
      <c r="Z79" s="14" t="s">
        <v>50</v>
      </c>
    </row>
    <row r="80">
      <c r="A80" s="14" t="s">
        <v>725</v>
      </c>
      <c r="B80" s="14" t="s">
        <v>28</v>
      </c>
      <c r="C80" s="14" t="s">
        <v>708</v>
      </c>
      <c r="D80" s="14" t="s">
        <v>321</v>
      </c>
      <c r="E80" s="14" t="s">
        <v>709</v>
      </c>
      <c r="F80" s="14">
        <v>2025.0</v>
      </c>
      <c r="G80" s="14" t="s">
        <v>32</v>
      </c>
      <c r="H80" s="14" t="s">
        <v>33</v>
      </c>
      <c r="I80" s="14" t="s">
        <v>34</v>
      </c>
      <c r="J80" s="14" t="s">
        <v>35</v>
      </c>
      <c r="K80" s="15" t="s">
        <v>726</v>
      </c>
      <c r="L80" s="14" t="s">
        <v>727</v>
      </c>
      <c r="M80" s="14">
        <v>26.0</v>
      </c>
      <c r="N80" s="14" t="s">
        <v>728</v>
      </c>
      <c r="O80" s="14" t="s">
        <v>729</v>
      </c>
      <c r="P80" s="14" t="s">
        <v>730</v>
      </c>
      <c r="Q80" s="14" t="s">
        <v>41</v>
      </c>
      <c r="R80" s="14" t="s">
        <v>42</v>
      </c>
      <c r="S80" s="14" t="s">
        <v>266</v>
      </c>
      <c r="T80" s="14" t="s">
        <v>44</v>
      </c>
      <c r="U80" s="14" t="s">
        <v>45</v>
      </c>
      <c r="V80" s="14" t="s">
        <v>731</v>
      </c>
      <c r="W80" s="14" t="s">
        <v>47</v>
      </c>
      <c r="X80" s="15" t="s">
        <v>732</v>
      </c>
      <c r="Y80" s="14" t="s">
        <v>329</v>
      </c>
      <c r="Z80" s="14" t="s">
        <v>50</v>
      </c>
    </row>
    <row r="81">
      <c r="A81" s="14" t="s">
        <v>733</v>
      </c>
      <c r="B81" s="14" t="s">
        <v>28</v>
      </c>
      <c r="C81" s="14" t="s">
        <v>708</v>
      </c>
      <c r="D81" s="14" t="s">
        <v>321</v>
      </c>
      <c r="E81" s="14" t="s">
        <v>709</v>
      </c>
      <c r="F81" s="14">
        <v>2025.0</v>
      </c>
      <c r="G81" s="14" t="s">
        <v>32</v>
      </c>
      <c r="H81" s="14" t="s">
        <v>33</v>
      </c>
      <c r="I81" s="14" t="s">
        <v>34</v>
      </c>
      <c r="J81" s="14" t="s">
        <v>35</v>
      </c>
      <c r="K81" s="15" t="s">
        <v>734</v>
      </c>
      <c r="L81" s="14" t="s">
        <v>735</v>
      </c>
      <c r="M81" s="14">
        <v>23.0</v>
      </c>
      <c r="N81" s="14" t="s">
        <v>736</v>
      </c>
      <c r="O81" s="14" t="s">
        <v>737</v>
      </c>
      <c r="P81" s="14" t="s">
        <v>738</v>
      </c>
      <c r="Q81" s="14" t="s">
        <v>41</v>
      </c>
      <c r="R81" s="14" t="s">
        <v>78</v>
      </c>
      <c r="S81" s="14" t="s">
        <v>79</v>
      </c>
      <c r="T81" s="14" t="s">
        <v>104</v>
      </c>
      <c r="U81" s="14" t="s">
        <v>45</v>
      </c>
      <c r="V81" s="14" t="s">
        <v>739</v>
      </c>
      <c r="W81" s="14" t="s">
        <v>47</v>
      </c>
      <c r="X81" s="15" t="s">
        <v>740</v>
      </c>
      <c r="Y81" s="14" t="s">
        <v>329</v>
      </c>
      <c r="Z81" s="14" t="s">
        <v>50</v>
      </c>
    </row>
    <row r="82">
      <c r="A82" s="14" t="s">
        <v>741</v>
      </c>
      <c r="B82" s="14" t="s">
        <v>28</v>
      </c>
      <c r="C82" s="14" t="s">
        <v>708</v>
      </c>
      <c r="D82" s="14" t="s">
        <v>321</v>
      </c>
      <c r="E82" s="14" t="s">
        <v>709</v>
      </c>
      <c r="F82" s="14">
        <v>2025.0</v>
      </c>
      <c r="G82" s="14" t="s">
        <v>32</v>
      </c>
      <c r="H82" s="14" t="s">
        <v>33</v>
      </c>
      <c r="I82" s="14" t="s">
        <v>34</v>
      </c>
      <c r="J82" s="14" t="s">
        <v>35</v>
      </c>
      <c r="K82" s="15" t="s">
        <v>742</v>
      </c>
      <c r="L82" s="14" t="s">
        <v>743</v>
      </c>
      <c r="M82" s="14">
        <v>24.0</v>
      </c>
      <c r="N82" s="14" t="s">
        <v>744</v>
      </c>
      <c r="O82" s="14" t="s">
        <v>745</v>
      </c>
      <c r="P82" s="14" t="s">
        <v>746</v>
      </c>
      <c r="Q82" s="14" t="s">
        <v>41</v>
      </c>
      <c r="R82" s="14" t="s">
        <v>42</v>
      </c>
      <c r="S82" s="14" t="s">
        <v>67</v>
      </c>
      <c r="T82" s="14" t="s">
        <v>139</v>
      </c>
      <c r="U82" s="14" t="s">
        <v>45</v>
      </c>
      <c r="V82" s="14" t="s">
        <v>747</v>
      </c>
      <c r="W82" s="14" t="s">
        <v>47</v>
      </c>
      <c r="X82" s="15" t="s">
        <v>748</v>
      </c>
      <c r="Y82" s="14" t="s">
        <v>329</v>
      </c>
      <c r="Z82" s="14" t="s">
        <v>50</v>
      </c>
    </row>
    <row r="83">
      <c r="A83" s="14" t="s">
        <v>749</v>
      </c>
      <c r="B83" s="14" t="s">
        <v>28</v>
      </c>
      <c r="C83" s="14" t="s">
        <v>708</v>
      </c>
      <c r="D83" s="14" t="s">
        <v>750</v>
      </c>
      <c r="E83" s="14" t="s">
        <v>751</v>
      </c>
      <c r="F83" s="14">
        <v>2025.0</v>
      </c>
      <c r="G83" s="14" t="s">
        <v>32</v>
      </c>
      <c r="H83" s="14" t="s">
        <v>33</v>
      </c>
      <c r="I83" s="14" t="s">
        <v>34</v>
      </c>
      <c r="J83" s="14" t="s">
        <v>35</v>
      </c>
      <c r="K83" s="15" t="s">
        <v>752</v>
      </c>
      <c r="L83" s="14" t="s">
        <v>753</v>
      </c>
      <c r="M83" s="14">
        <v>19.0</v>
      </c>
      <c r="N83" s="14" t="s">
        <v>754</v>
      </c>
      <c r="O83" s="14" t="s">
        <v>755</v>
      </c>
      <c r="P83" s="14" t="s">
        <v>756</v>
      </c>
      <c r="Q83" s="14" t="s">
        <v>41</v>
      </c>
      <c r="R83" s="14" t="s">
        <v>42</v>
      </c>
      <c r="S83" s="14" t="s">
        <v>138</v>
      </c>
      <c r="T83" s="14" t="s">
        <v>90</v>
      </c>
      <c r="U83" s="14" t="s">
        <v>45</v>
      </c>
      <c r="V83" s="14" t="s">
        <v>46</v>
      </c>
      <c r="W83" s="14" t="s">
        <v>47</v>
      </c>
      <c r="X83" s="15" t="s">
        <v>757</v>
      </c>
      <c r="Y83" s="14" t="s">
        <v>329</v>
      </c>
      <c r="Z83" s="14" t="s">
        <v>50</v>
      </c>
    </row>
    <row r="84">
      <c r="A84" s="14" t="s">
        <v>758</v>
      </c>
      <c r="B84" s="14" t="s">
        <v>28</v>
      </c>
      <c r="C84" s="14" t="s">
        <v>708</v>
      </c>
      <c r="D84" s="14" t="s">
        <v>750</v>
      </c>
      <c r="E84" s="14" t="s">
        <v>751</v>
      </c>
      <c r="F84" s="14">
        <v>2025.0</v>
      </c>
      <c r="G84" s="14" t="s">
        <v>32</v>
      </c>
      <c r="H84" s="14" t="s">
        <v>33</v>
      </c>
      <c r="I84" s="14" t="s">
        <v>34</v>
      </c>
      <c r="J84" s="14" t="s">
        <v>35</v>
      </c>
      <c r="K84" s="15" t="s">
        <v>759</v>
      </c>
      <c r="L84" s="14" t="s">
        <v>753</v>
      </c>
      <c r="M84" s="14">
        <v>24.0</v>
      </c>
      <c r="N84" s="14" t="s">
        <v>760</v>
      </c>
      <c r="O84" s="14" t="s">
        <v>761</v>
      </c>
      <c r="P84" s="14" t="s">
        <v>762</v>
      </c>
      <c r="Q84" s="14" t="s">
        <v>41</v>
      </c>
      <c r="R84" s="14" t="s">
        <v>42</v>
      </c>
      <c r="S84" s="14" t="s">
        <v>138</v>
      </c>
      <c r="T84" s="14" t="s">
        <v>90</v>
      </c>
      <c r="U84" s="14" t="s">
        <v>45</v>
      </c>
      <c r="V84" s="14" t="s">
        <v>46</v>
      </c>
      <c r="W84" s="14" t="s">
        <v>47</v>
      </c>
      <c r="X84" s="15" t="s">
        <v>763</v>
      </c>
      <c r="Y84" s="14" t="s">
        <v>329</v>
      </c>
      <c r="Z84" s="14" t="s">
        <v>50</v>
      </c>
    </row>
    <row r="85">
      <c r="A85" s="14" t="s">
        <v>764</v>
      </c>
      <c r="B85" s="14" t="s">
        <v>28</v>
      </c>
      <c r="C85" s="14" t="s">
        <v>708</v>
      </c>
      <c r="D85" s="14" t="s">
        <v>750</v>
      </c>
      <c r="E85" s="14" t="s">
        <v>751</v>
      </c>
      <c r="F85" s="14">
        <v>2025.0</v>
      </c>
      <c r="G85" s="14" t="s">
        <v>32</v>
      </c>
      <c r="H85" s="14" t="s">
        <v>33</v>
      </c>
      <c r="I85" s="14" t="s">
        <v>34</v>
      </c>
      <c r="J85" s="14" t="s">
        <v>35</v>
      </c>
      <c r="K85" s="15" t="s">
        <v>765</v>
      </c>
      <c r="L85" s="14" t="s">
        <v>753</v>
      </c>
      <c r="M85" s="14">
        <v>19.0</v>
      </c>
      <c r="N85" s="14" t="s">
        <v>766</v>
      </c>
      <c r="O85" s="14" t="s">
        <v>767</v>
      </c>
      <c r="P85" s="14" t="s">
        <v>768</v>
      </c>
      <c r="Q85" s="14" t="s">
        <v>41</v>
      </c>
      <c r="R85" s="14" t="s">
        <v>42</v>
      </c>
      <c r="S85" s="14" t="s">
        <v>138</v>
      </c>
      <c r="T85" s="14" t="s">
        <v>90</v>
      </c>
      <c r="U85" s="14" t="s">
        <v>45</v>
      </c>
      <c r="V85" s="14" t="s">
        <v>46</v>
      </c>
      <c r="W85" s="14" t="s">
        <v>47</v>
      </c>
      <c r="X85" s="15" t="s">
        <v>769</v>
      </c>
      <c r="Y85" s="14" t="s">
        <v>329</v>
      </c>
      <c r="Z85" s="14" t="s">
        <v>50</v>
      </c>
    </row>
    <row r="86">
      <c r="A86" s="14" t="s">
        <v>770</v>
      </c>
      <c r="B86" s="14" t="s">
        <v>28</v>
      </c>
      <c r="C86" s="14" t="s">
        <v>708</v>
      </c>
      <c r="D86" s="14" t="s">
        <v>750</v>
      </c>
      <c r="E86" s="14" t="s">
        <v>751</v>
      </c>
      <c r="F86" s="14">
        <v>2025.0</v>
      </c>
      <c r="G86" s="14" t="s">
        <v>32</v>
      </c>
      <c r="H86" s="14" t="s">
        <v>33</v>
      </c>
      <c r="I86" s="14" t="s">
        <v>34</v>
      </c>
      <c r="J86" s="14" t="s">
        <v>35</v>
      </c>
      <c r="K86" s="15" t="s">
        <v>771</v>
      </c>
      <c r="L86" s="14" t="s">
        <v>753</v>
      </c>
      <c r="M86" s="14">
        <v>19.0</v>
      </c>
      <c r="N86" s="14" t="s">
        <v>772</v>
      </c>
      <c r="O86" s="14" t="s">
        <v>767</v>
      </c>
      <c r="P86" s="14" t="s">
        <v>768</v>
      </c>
      <c r="Q86" s="14" t="s">
        <v>41</v>
      </c>
      <c r="R86" s="14" t="s">
        <v>42</v>
      </c>
      <c r="S86" s="14" t="s">
        <v>138</v>
      </c>
      <c r="T86" s="14" t="s">
        <v>90</v>
      </c>
      <c r="U86" s="14" t="s">
        <v>45</v>
      </c>
      <c r="V86" s="14" t="s">
        <v>46</v>
      </c>
      <c r="W86" s="14" t="s">
        <v>47</v>
      </c>
      <c r="X86" s="15" t="s">
        <v>773</v>
      </c>
      <c r="Y86" s="14" t="s">
        <v>329</v>
      </c>
      <c r="Z86" s="14" t="s">
        <v>50</v>
      </c>
    </row>
    <row r="87">
      <c r="A87" s="14" t="s">
        <v>774</v>
      </c>
      <c r="B87" s="14" t="s">
        <v>28</v>
      </c>
      <c r="C87" s="14" t="s">
        <v>708</v>
      </c>
      <c r="D87" s="14" t="s">
        <v>750</v>
      </c>
      <c r="E87" s="14" t="s">
        <v>751</v>
      </c>
      <c r="F87" s="14">
        <v>2025.0</v>
      </c>
      <c r="G87" s="14" t="s">
        <v>32</v>
      </c>
      <c r="H87" s="14" t="s">
        <v>33</v>
      </c>
      <c r="I87" s="14" t="s">
        <v>34</v>
      </c>
      <c r="J87" s="14" t="s">
        <v>35</v>
      </c>
      <c r="K87" s="15" t="s">
        <v>775</v>
      </c>
      <c r="L87" s="14" t="s">
        <v>776</v>
      </c>
      <c r="M87" s="14">
        <v>36.0</v>
      </c>
      <c r="N87" s="14" t="s">
        <v>777</v>
      </c>
      <c r="O87" s="14" t="s">
        <v>778</v>
      </c>
      <c r="P87" s="14" t="s">
        <v>779</v>
      </c>
      <c r="Q87" s="14" t="s">
        <v>316</v>
      </c>
      <c r="R87" s="14" t="s">
        <v>404</v>
      </c>
      <c r="S87" s="14" t="s">
        <v>405</v>
      </c>
      <c r="T87" s="14" t="s">
        <v>178</v>
      </c>
      <c r="U87" s="14" t="s">
        <v>45</v>
      </c>
      <c r="V87" s="14" t="s">
        <v>780</v>
      </c>
      <c r="W87" s="14" t="s">
        <v>47</v>
      </c>
      <c r="X87" s="15" t="s">
        <v>781</v>
      </c>
      <c r="Y87" s="14" t="s">
        <v>329</v>
      </c>
      <c r="Z87" s="14" t="s">
        <v>50</v>
      </c>
    </row>
    <row r="88">
      <c r="A88" s="14" t="s">
        <v>782</v>
      </c>
      <c r="B88" s="14" t="s">
        <v>28</v>
      </c>
      <c r="C88" s="14" t="s">
        <v>783</v>
      </c>
      <c r="D88" s="14" t="s">
        <v>321</v>
      </c>
      <c r="E88" s="14" t="s">
        <v>784</v>
      </c>
      <c r="F88" s="14">
        <v>2025.0</v>
      </c>
      <c r="G88" s="14" t="s">
        <v>32</v>
      </c>
      <c r="H88" s="14" t="s">
        <v>33</v>
      </c>
      <c r="I88" s="14" t="s">
        <v>34</v>
      </c>
      <c r="J88" s="14" t="s">
        <v>35</v>
      </c>
      <c r="K88" s="15" t="s">
        <v>785</v>
      </c>
      <c r="L88" s="14" t="s">
        <v>786</v>
      </c>
      <c r="M88" s="14">
        <v>28.0</v>
      </c>
      <c r="N88" s="14" t="s">
        <v>787</v>
      </c>
      <c r="O88" s="14" t="s">
        <v>788</v>
      </c>
      <c r="P88" s="14" t="s">
        <v>789</v>
      </c>
      <c r="Q88" s="14" t="s">
        <v>41</v>
      </c>
      <c r="R88" s="14" t="s">
        <v>42</v>
      </c>
      <c r="S88" s="14" t="s">
        <v>67</v>
      </c>
      <c r="T88" s="14" t="s">
        <v>44</v>
      </c>
      <c r="U88" s="14" t="s">
        <v>45</v>
      </c>
      <c r="V88" s="14" t="s">
        <v>46</v>
      </c>
      <c r="W88" s="14" t="s">
        <v>47</v>
      </c>
      <c r="X88" s="15" t="s">
        <v>790</v>
      </c>
      <c r="Y88" s="14" t="s">
        <v>329</v>
      </c>
      <c r="Z88" s="14" t="s">
        <v>50</v>
      </c>
    </row>
    <row r="89">
      <c r="A89" s="14" t="s">
        <v>791</v>
      </c>
      <c r="B89" s="14" t="s">
        <v>28</v>
      </c>
      <c r="C89" s="14" t="s">
        <v>783</v>
      </c>
      <c r="D89" s="14" t="s">
        <v>321</v>
      </c>
      <c r="E89" s="14" t="s">
        <v>784</v>
      </c>
      <c r="F89" s="14">
        <v>2025.0</v>
      </c>
      <c r="G89" s="14" t="s">
        <v>32</v>
      </c>
      <c r="H89" s="14" t="s">
        <v>33</v>
      </c>
      <c r="I89" s="14" t="s">
        <v>34</v>
      </c>
      <c r="J89" s="14" t="s">
        <v>35</v>
      </c>
      <c r="K89" s="15" t="s">
        <v>792</v>
      </c>
      <c r="L89" s="14" t="s">
        <v>639</v>
      </c>
      <c r="M89" s="14">
        <v>23.0</v>
      </c>
      <c r="N89" s="14" t="s">
        <v>793</v>
      </c>
      <c r="O89" s="14" t="s">
        <v>794</v>
      </c>
      <c r="P89" s="14" t="s">
        <v>795</v>
      </c>
      <c r="Q89" s="14" t="s">
        <v>41</v>
      </c>
      <c r="R89" s="14" t="s">
        <v>273</v>
      </c>
      <c r="S89" s="14" t="s">
        <v>548</v>
      </c>
      <c r="T89" s="14" t="s">
        <v>275</v>
      </c>
      <c r="U89" s="14" t="s">
        <v>45</v>
      </c>
      <c r="V89" s="14" t="s">
        <v>796</v>
      </c>
      <c r="W89" s="14" t="s">
        <v>47</v>
      </c>
      <c r="X89" s="15" t="s">
        <v>797</v>
      </c>
      <c r="Y89" s="14" t="s">
        <v>329</v>
      </c>
      <c r="Z89" s="14" t="s">
        <v>50</v>
      </c>
    </row>
    <row r="90">
      <c r="A90" s="14" t="s">
        <v>798</v>
      </c>
      <c r="B90" s="14" t="s">
        <v>28</v>
      </c>
      <c r="C90" s="14" t="s">
        <v>783</v>
      </c>
      <c r="D90" s="14" t="s">
        <v>321</v>
      </c>
      <c r="E90" s="14" t="s">
        <v>784</v>
      </c>
      <c r="F90" s="14">
        <v>2025.0</v>
      </c>
      <c r="G90" s="14" t="s">
        <v>32</v>
      </c>
      <c r="H90" s="14" t="s">
        <v>33</v>
      </c>
      <c r="I90" s="14" t="s">
        <v>34</v>
      </c>
      <c r="J90" s="14" t="s">
        <v>35</v>
      </c>
      <c r="K90" s="15" t="s">
        <v>799</v>
      </c>
      <c r="L90" s="14" t="s">
        <v>800</v>
      </c>
      <c r="M90" s="14">
        <v>25.0</v>
      </c>
      <c r="N90" s="14" t="s">
        <v>801</v>
      </c>
      <c r="O90" s="14" t="s">
        <v>802</v>
      </c>
      <c r="P90" s="14" t="s">
        <v>803</v>
      </c>
      <c r="Q90" s="14" t="s">
        <v>41</v>
      </c>
      <c r="R90" s="14" t="s">
        <v>42</v>
      </c>
      <c r="S90" s="14" t="s">
        <v>43</v>
      </c>
      <c r="T90" s="14" t="s">
        <v>160</v>
      </c>
      <c r="U90" s="14" t="s">
        <v>45</v>
      </c>
      <c r="V90" s="14" t="s">
        <v>804</v>
      </c>
      <c r="W90" s="14" t="s">
        <v>47</v>
      </c>
      <c r="X90" s="15" t="s">
        <v>805</v>
      </c>
      <c r="Y90" s="14" t="s">
        <v>329</v>
      </c>
      <c r="Z90" s="14" t="s">
        <v>50</v>
      </c>
    </row>
    <row r="91">
      <c r="A91" s="14" t="s">
        <v>806</v>
      </c>
      <c r="B91" s="14" t="s">
        <v>28</v>
      </c>
      <c r="C91" s="14" t="s">
        <v>783</v>
      </c>
      <c r="D91" s="14" t="s">
        <v>321</v>
      </c>
      <c r="E91" s="14" t="s">
        <v>784</v>
      </c>
      <c r="F91" s="14">
        <v>2025.0</v>
      </c>
      <c r="G91" s="14" t="s">
        <v>32</v>
      </c>
      <c r="H91" s="14" t="s">
        <v>33</v>
      </c>
      <c r="I91" s="14" t="s">
        <v>34</v>
      </c>
      <c r="J91" s="14" t="s">
        <v>35</v>
      </c>
      <c r="K91" s="15" t="s">
        <v>807</v>
      </c>
      <c r="L91" s="14" t="s">
        <v>808</v>
      </c>
      <c r="M91" s="14">
        <v>22.0</v>
      </c>
      <c r="N91" s="14" t="s">
        <v>809</v>
      </c>
      <c r="O91" s="14" t="s">
        <v>810</v>
      </c>
      <c r="P91" s="14" t="s">
        <v>127</v>
      </c>
      <c r="Q91" s="14" t="s">
        <v>41</v>
      </c>
      <c r="R91" s="14" t="s">
        <v>56</v>
      </c>
      <c r="S91" s="14" t="s">
        <v>57</v>
      </c>
      <c r="T91" s="14" t="s">
        <v>128</v>
      </c>
      <c r="U91" s="14" t="s">
        <v>45</v>
      </c>
      <c r="V91" s="14" t="s">
        <v>811</v>
      </c>
      <c r="W91" s="14" t="s">
        <v>47</v>
      </c>
      <c r="X91" s="15" t="s">
        <v>812</v>
      </c>
      <c r="Y91" s="14" t="s">
        <v>329</v>
      </c>
      <c r="Z91" s="14" t="s">
        <v>50</v>
      </c>
    </row>
    <row r="92">
      <c r="A92" s="14" t="s">
        <v>813</v>
      </c>
      <c r="B92" s="14" t="s">
        <v>28</v>
      </c>
      <c r="C92" s="14" t="s">
        <v>783</v>
      </c>
      <c r="D92" s="14" t="s">
        <v>321</v>
      </c>
      <c r="E92" s="14" t="s">
        <v>784</v>
      </c>
      <c r="F92" s="14">
        <v>2025.0</v>
      </c>
      <c r="G92" s="14" t="s">
        <v>32</v>
      </c>
      <c r="H92" s="14" t="s">
        <v>33</v>
      </c>
      <c r="I92" s="14" t="s">
        <v>34</v>
      </c>
      <c r="J92" s="14" t="s">
        <v>35</v>
      </c>
      <c r="K92" s="15" t="s">
        <v>814</v>
      </c>
      <c r="L92" s="14" t="s">
        <v>815</v>
      </c>
      <c r="M92" s="14">
        <v>24.0</v>
      </c>
      <c r="N92" s="14" t="s">
        <v>816</v>
      </c>
      <c r="O92" s="14" t="s">
        <v>817</v>
      </c>
      <c r="P92" s="14" t="s">
        <v>818</v>
      </c>
      <c r="Q92" s="14" t="s">
        <v>41</v>
      </c>
      <c r="R92" s="14" t="s">
        <v>42</v>
      </c>
      <c r="S92" s="14" t="s">
        <v>337</v>
      </c>
      <c r="T92" s="14" t="s">
        <v>90</v>
      </c>
      <c r="U92" s="14" t="s">
        <v>45</v>
      </c>
      <c r="V92" s="14" t="s">
        <v>46</v>
      </c>
      <c r="W92" s="14" t="s">
        <v>47</v>
      </c>
      <c r="X92" s="15" t="s">
        <v>819</v>
      </c>
      <c r="Y92" s="14" t="s">
        <v>329</v>
      </c>
      <c r="Z92" s="14" t="s">
        <v>50</v>
      </c>
    </row>
    <row r="93">
      <c r="A93" s="14" t="s">
        <v>820</v>
      </c>
      <c r="B93" s="14" t="s">
        <v>28</v>
      </c>
      <c r="C93" s="14" t="s">
        <v>783</v>
      </c>
      <c r="D93" s="14" t="s">
        <v>821</v>
      </c>
      <c r="E93" s="14" t="s">
        <v>822</v>
      </c>
      <c r="F93" s="14">
        <v>2025.0</v>
      </c>
      <c r="G93" s="14" t="s">
        <v>32</v>
      </c>
      <c r="H93" s="14" t="s">
        <v>33</v>
      </c>
      <c r="I93" s="14" t="s">
        <v>34</v>
      </c>
      <c r="J93" s="14" t="s">
        <v>35</v>
      </c>
      <c r="K93" s="15" t="s">
        <v>823</v>
      </c>
      <c r="L93" s="14" t="s">
        <v>824</v>
      </c>
      <c r="M93" s="14">
        <v>31.0</v>
      </c>
      <c r="N93" s="14" t="s">
        <v>825</v>
      </c>
      <c r="O93" s="14" t="s">
        <v>826</v>
      </c>
      <c r="P93" s="14" t="s">
        <v>827</v>
      </c>
      <c r="Q93" s="14" t="s">
        <v>41</v>
      </c>
      <c r="R93" s="14" t="s">
        <v>78</v>
      </c>
      <c r="S93" s="14" t="s">
        <v>89</v>
      </c>
      <c r="T93" s="14" t="s">
        <v>90</v>
      </c>
      <c r="U93" s="14" t="s">
        <v>45</v>
      </c>
      <c r="V93" s="14" t="s">
        <v>828</v>
      </c>
      <c r="W93" s="14" t="s">
        <v>47</v>
      </c>
      <c r="X93" s="15" t="s">
        <v>829</v>
      </c>
      <c r="Y93" s="14" t="s">
        <v>329</v>
      </c>
      <c r="Z93" s="14" t="s">
        <v>70</v>
      </c>
      <c r="AA93" s="16" t="s">
        <v>830</v>
      </c>
    </row>
    <row r="94">
      <c r="A94" s="14" t="s">
        <v>831</v>
      </c>
      <c r="B94" s="14" t="s">
        <v>28</v>
      </c>
      <c r="C94" s="14" t="s">
        <v>783</v>
      </c>
      <c r="D94" s="14" t="s">
        <v>821</v>
      </c>
      <c r="E94" s="14" t="s">
        <v>822</v>
      </c>
      <c r="F94" s="14">
        <v>2025.0</v>
      </c>
      <c r="G94" s="14" t="s">
        <v>32</v>
      </c>
      <c r="H94" s="14" t="s">
        <v>33</v>
      </c>
      <c r="I94" s="14" t="s">
        <v>34</v>
      </c>
      <c r="J94" s="14" t="s">
        <v>35</v>
      </c>
      <c r="K94" s="15" t="s">
        <v>832</v>
      </c>
      <c r="L94" s="14" t="s">
        <v>833</v>
      </c>
      <c r="M94" s="14">
        <v>30.0</v>
      </c>
      <c r="N94" s="14" t="s">
        <v>834</v>
      </c>
      <c r="O94" s="14" t="s">
        <v>835</v>
      </c>
      <c r="P94" s="14" t="s">
        <v>836</v>
      </c>
      <c r="Q94" s="14" t="s">
        <v>41</v>
      </c>
      <c r="R94" s="14" t="s">
        <v>404</v>
      </c>
      <c r="S94" s="14" t="s">
        <v>405</v>
      </c>
      <c r="T94" s="14" t="s">
        <v>178</v>
      </c>
      <c r="U94" s="14" t="s">
        <v>45</v>
      </c>
      <c r="V94" s="14" t="s">
        <v>837</v>
      </c>
      <c r="W94" s="14" t="s">
        <v>47</v>
      </c>
      <c r="X94" s="15" t="s">
        <v>838</v>
      </c>
      <c r="Y94" s="14" t="s">
        <v>329</v>
      </c>
      <c r="Z94" s="14" t="s">
        <v>70</v>
      </c>
      <c r="AA94" s="16" t="s">
        <v>839</v>
      </c>
    </row>
    <row r="95">
      <c r="A95" s="14" t="s">
        <v>840</v>
      </c>
      <c r="B95" s="14" t="s">
        <v>28</v>
      </c>
      <c r="C95" s="14" t="s">
        <v>783</v>
      </c>
      <c r="D95" s="14" t="s">
        <v>821</v>
      </c>
      <c r="E95" s="14" t="s">
        <v>822</v>
      </c>
      <c r="F95" s="14">
        <v>2025.0</v>
      </c>
      <c r="G95" s="14" t="s">
        <v>32</v>
      </c>
      <c r="H95" s="14" t="s">
        <v>33</v>
      </c>
      <c r="I95" s="14" t="s">
        <v>34</v>
      </c>
      <c r="J95" s="14" t="s">
        <v>35</v>
      </c>
      <c r="K95" s="15" t="s">
        <v>841</v>
      </c>
      <c r="L95" s="14" t="s">
        <v>842</v>
      </c>
      <c r="M95" s="14">
        <v>28.0</v>
      </c>
      <c r="N95" s="14" t="s">
        <v>843</v>
      </c>
      <c r="O95" s="14" t="s">
        <v>844</v>
      </c>
      <c r="P95" s="14" t="s">
        <v>845</v>
      </c>
      <c r="Q95" s="14" t="s">
        <v>316</v>
      </c>
      <c r="R95" s="14" t="s">
        <v>404</v>
      </c>
      <c r="S95" s="14" t="s">
        <v>846</v>
      </c>
      <c r="T95" s="14" t="s">
        <v>104</v>
      </c>
      <c r="U95" s="14" t="s">
        <v>45</v>
      </c>
      <c r="V95" s="14" t="s">
        <v>46</v>
      </c>
      <c r="W95" s="14" t="s">
        <v>47</v>
      </c>
      <c r="X95" s="15" t="s">
        <v>847</v>
      </c>
      <c r="Y95" s="14" t="s">
        <v>329</v>
      </c>
      <c r="Z95" s="14" t="s">
        <v>50</v>
      </c>
    </row>
    <row r="96">
      <c r="A96" s="14" t="s">
        <v>848</v>
      </c>
      <c r="B96" s="14" t="s">
        <v>28</v>
      </c>
      <c r="C96" s="14" t="s">
        <v>783</v>
      </c>
      <c r="D96" s="14" t="s">
        <v>821</v>
      </c>
      <c r="E96" s="14" t="s">
        <v>822</v>
      </c>
      <c r="F96" s="14">
        <v>2025.0</v>
      </c>
      <c r="G96" s="14" t="s">
        <v>32</v>
      </c>
      <c r="H96" s="14" t="s">
        <v>33</v>
      </c>
      <c r="I96" s="14" t="s">
        <v>34</v>
      </c>
      <c r="J96" s="14" t="s">
        <v>35</v>
      </c>
      <c r="K96" s="15" t="s">
        <v>849</v>
      </c>
      <c r="L96" s="14" t="s">
        <v>850</v>
      </c>
      <c r="M96" s="14">
        <v>26.0</v>
      </c>
      <c r="N96" s="14" t="s">
        <v>851</v>
      </c>
      <c r="O96" s="14" t="s">
        <v>852</v>
      </c>
      <c r="P96" s="14" t="s">
        <v>853</v>
      </c>
      <c r="Q96" s="14" t="s">
        <v>41</v>
      </c>
      <c r="R96" s="14" t="s">
        <v>56</v>
      </c>
      <c r="S96" s="14" t="s">
        <v>57</v>
      </c>
      <c r="T96" s="14" t="s">
        <v>128</v>
      </c>
      <c r="U96" s="14" t="s">
        <v>45</v>
      </c>
      <c r="V96" s="14" t="s">
        <v>854</v>
      </c>
      <c r="W96" s="14" t="s">
        <v>47</v>
      </c>
      <c r="X96" s="15" t="s">
        <v>855</v>
      </c>
      <c r="Y96" s="14" t="s">
        <v>329</v>
      </c>
      <c r="Z96" s="14" t="s">
        <v>50</v>
      </c>
    </row>
    <row r="97">
      <c r="A97" s="14" t="s">
        <v>856</v>
      </c>
      <c r="B97" s="14" t="s">
        <v>28</v>
      </c>
      <c r="C97" s="14" t="s">
        <v>783</v>
      </c>
      <c r="D97" s="14" t="s">
        <v>821</v>
      </c>
      <c r="E97" s="14" t="s">
        <v>822</v>
      </c>
      <c r="F97" s="14">
        <v>2025.0</v>
      </c>
      <c r="G97" s="14" t="s">
        <v>32</v>
      </c>
      <c r="H97" s="14" t="s">
        <v>33</v>
      </c>
      <c r="I97" s="14" t="s">
        <v>34</v>
      </c>
      <c r="J97" s="14" t="s">
        <v>35</v>
      </c>
      <c r="K97" s="15" t="s">
        <v>857</v>
      </c>
      <c r="L97" s="14" t="s">
        <v>858</v>
      </c>
      <c r="M97" s="14">
        <v>25.0</v>
      </c>
      <c r="N97" s="14" t="s">
        <v>859</v>
      </c>
      <c r="O97" s="14" t="s">
        <v>860</v>
      </c>
      <c r="P97" s="14" t="s">
        <v>861</v>
      </c>
      <c r="Q97" s="14" t="s">
        <v>41</v>
      </c>
      <c r="R97" s="14" t="s">
        <v>42</v>
      </c>
      <c r="S97" s="14" t="s">
        <v>138</v>
      </c>
      <c r="T97" s="14" t="s">
        <v>188</v>
      </c>
      <c r="U97" s="14" t="s">
        <v>45</v>
      </c>
      <c r="V97" s="14" t="s">
        <v>46</v>
      </c>
      <c r="W97" s="14" t="s">
        <v>47</v>
      </c>
      <c r="X97" s="15" t="s">
        <v>862</v>
      </c>
      <c r="Y97" s="14" t="s">
        <v>329</v>
      </c>
      <c r="Z97" s="14" t="s">
        <v>50</v>
      </c>
    </row>
    <row r="98">
      <c r="A98" s="14" t="s">
        <v>863</v>
      </c>
      <c r="B98" s="14" t="s">
        <v>28</v>
      </c>
      <c r="C98" s="14" t="s">
        <v>864</v>
      </c>
      <c r="D98" s="14" t="s">
        <v>865</v>
      </c>
      <c r="E98" s="14" t="s">
        <v>866</v>
      </c>
      <c r="F98" s="14">
        <v>2025.0</v>
      </c>
      <c r="G98" s="14" t="s">
        <v>32</v>
      </c>
      <c r="H98" s="14" t="s">
        <v>33</v>
      </c>
      <c r="I98" s="14" t="s">
        <v>34</v>
      </c>
      <c r="J98" s="14" t="s">
        <v>35</v>
      </c>
      <c r="K98" s="15" t="s">
        <v>867</v>
      </c>
      <c r="L98" s="14" t="s">
        <v>868</v>
      </c>
      <c r="M98" s="14">
        <v>22.0</v>
      </c>
      <c r="N98" s="14" t="s">
        <v>869</v>
      </c>
      <c r="O98" s="14" t="s">
        <v>870</v>
      </c>
      <c r="P98" s="14" t="s">
        <v>871</v>
      </c>
      <c r="Q98" s="14" t="s">
        <v>41</v>
      </c>
      <c r="R98" s="14" t="s">
        <v>42</v>
      </c>
      <c r="S98" s="14" t="s">
        <v>67</v>
      </c>
      <c r="T98" s="14" t="s">
        <v>139</v>
      </c>
      <c r="U98" s="14" t="s">
        <v>45</v>
      </c>
      <c r="V98" s="14" t="s">
        <v>46</v>
      </c>
      <c r="W98" s="14" t="s">
        <v>47</v>
      </c>
      <c r="X98" s="15" t="s">
        <v>872</v>
      </c>
      <c r="Y98" s="14" t="s">
        <v>329</v>
      </c>
      <c r="Z98" s="14" t="s">
        <v>50</v>
      </c>
    </row>
    <row r="99">
      <c r="A99" s="14" t="s">
        <v>873</v>
      </c>
      <c r="B99" s="14" t="s">
        <v>28</v>
      </c>
      <c r="C99" s="14" t="s">
        <v>864</v>
      </c>
      <c r="D99" s="14" t="s">
        <v>865</v>
      </c>
      <c r="E99" s="14" t="s">
        <v>866</v>
      </c>
      <c r="F99" s="14">
        <v>2025.0</v>
      </c>
      <c r="G99" s="14" t="s">
        <v>32</v>
      </c>
      <c r="H99" s="14" t="s">
        <v>33</v>
      </c>
      <c r="I99" s="14" t="s">
        <v>34</v>
      </c>
      <c r="J99" s="14" t="s">
        <v>35</v>
      </c>
      <c r="K99" s="15" t="s">
        <v>874</v>
      </c>
      <c r="L99" s="14" t="s">
        <v>875</v>
      </c>
      <c r="M99" s="14">
        <v>21.0</v>
      </c>
      <c r="N99" s="14" t="s">
        <v>876</v>
      </c>
      <c r="O99" s="14" t="s">
        <v>877</v>
      </c>
      <c r="P99" s="14" t="s">
        <v>878</v>
      </c>
      <c r="Q99" s="14" t="s">
        <v>41</v>
      </c>
      <c r="R99" s="14" t="s">
        <v>56</v>
      </c>
      <c r="S99" s="14" t="s">
        <v>57</v>
      </c>
      <c r="T99" s="14" t="s">
        <v>160</v>
      </c>
      <c r="U99" s="14" t="s">
        <v>45</v>
      </c>
      <c r="V99" s="14" t="s">
        <v>879</v>
      </c>
      <c r="W99" s="14" t="s">
        <v>47</v>
      </c>
      <c r="X99" s="15" t="s">
        <v>880</v>
      </c>
      <c r="Y99" s="14" t="s">
        <v>329</v>
      </c>
      <c r="Z99" s="14" t="s">
        <v>50</v>
      </c>
    </row>
    <row r="100">
      <c r="A100" s="14" t="s">
        <v>881</v>
      </c>
      <c r="B100" s="14" t="s">
        <v>28</v>
      </c>
      <c r="C100" s="14" t="s">
        <v>864</v>
      </c>
      <c r="D100" s="14" t="s">
        <v>865</v>
      </c>
      <c r="E100" s="14" t="s">
        <v>866</v>
      </c>
      <c r="F100" s="14">
        <v>2025.0</v>
      </c>
      <c r="G100" s="14" t="s">
        <v>32</v>
      </c>
      <c r="H100" s="14" t="s">
        <v>33</v>
      </c>
      <c r="I100" s="14" t="s">
        <v>34</v>
      </c>
      <c r="J100" s="14" t="s">
        <v>35</v>
      </c>
      <c r="K100" s="15" t="s">
        <v>882</v>
      </c>
      <c r="L100" s="14" t="s">
        <v>883</v>
      </c>
      <c r="M100" s="14">
        <v>29.0</v>
      </c>
      <c r="N100" s="14" t="s">
        <v>884</v>
      </c>
      <c r="O100" s="14" t="s">
        <v>885</v>
      </c>
      <c r="P100" s="14" t="s">
        <v>886</v>
      </c>
      <c r="Q100" s="14" t="s">
        <v>121</v>
      </c>
      <c r="R100" s="14" t="s">
        <v>78</v>
      </c>
      <c r="S100" s="14" t="s">
        <v>79</v>
      </c>
      <c r="T100" s="14" t="s">
        <v>44</v>
      </c>
      <c r="U100" s="14" t="s">
        <v>45</v>
      </c>
      <c r="V100" s="14" t="s">
        <v>887</v>
      </c>
      <c r="W100" s="14" t="s">
        <v>47</v>
      </c>
      <c r="X100" s="15" t="s">
        <v>888</v>
      </c>
      <c r="Y100" s="14" t="s">
        <v>329</v>
      </c>
      <c r="Z100" s="14" t="s">
        <v>50</v>
      </c>
    </row>
    <row r="101">
      <c r="A101" s="14" t="s">
        <v>889</v>
      </c>
      <c r="B101" s="14" t="s">
        <v>28</v>
      </c>
      <c r="C101" s="14" t="s">
        <v>864</v>
      </c>
      <c r="D101" s="14" t="s">
        <v>865</v>
      </c>
      <c r="E101" s="14" t="s">
        <v>866</v>
      </c>
      <c r="F101" s="14">
        <v>2025.0</v>
      </c>
      <c r="G101" s="14" t="s">
        <v>32</v>
      </c>
      <c r="H101" s="14" t="s">
        <v>33</v>
      </c>
      <c r="I101" s="14" t="s">
        <v>34</v>
      </c>
      <c r="J101" s="14" t="s">
        <v>35</v>
      </c>
      <c r="K101" s="15" t="s">
        <v>890</v>
      </c>
      <c r="L101" s="14" t="s">
        <v>891</v>
      </c>
      <c r="M101" s="14">
        <v>26.0</v>
      </c>
      <c r="N101" s="14" t="s">
        <v>892</v>
      </c>
      <c r="O101" s="14" t="s">
        <v>893</v>
      </c>
      <c r="P101" s="14" t="s">
        <v>894</v>
      </c>
      <c r="Q101" s="14" t="s">
        <v>41</v>
      </c>
      <c r="R101" s="14" t="s">
        <v>42</v>
      </c>
      <c r="S101" s="14" t="s">
        <v>337</v>
      </c>
      <c r="T101" s="14" t="s">
        <v>104</v>
      </c>
      <c r="U101" s="14" t="s">
        <v>45</v>
      </c>
      <c r="V101" s="14" t="s">
        <v>46</v>
      </c>
      <c r="W101" s="14" t="s">
        <v>47</v>
      </c>
      <c r="X101" s="15" t="s">
        <v>895</v>
      </c>
      <c r="Y101" s="14" t="s">
        <v>329</v>
      </c>
      <c r="Z101" s="14" t="s">
        <v>50</v>
      </c>
    </row>
    <row r="102">
      <c r="A102" s="14" t="s">
        <v>896</v>
      </c>
      <c r="B102" s="14" t="s">
        <v>28</v>
      </c>
      <c r="C102" s="14" t="s">
        <v>864</v>
      </c>
      <c r="D102" s="14" t="s">
        <v>865</v>
      </c>
      <c r="E102" s="14" t="s">
        <v>866</v>
      </c>
      <c r="F102" s="14">
        <v>2025.0</v>
      </c>
      <c r="G102" s="14" t="s">
        <v>32</v>
      </c>
      <c r="H102" s="14" t="s">
        <v>33</v>
      </c>
      <c r="I102" s="14" t="s">
        <v>34</v>
      </c>
      <c r="J102" s="14" t="s">
        <v>35</v>
      </c>
      <c r="K102" s="15" t="s">
        <v>897</v>
      </c>
      <c r="L102" s="14" t="s">
        <v>898</v>
      </c>
      <c r="M102" s="14">
        <v>24.0</v>
      </c>
      <c r="N102" s="14" t="s">
        <v>899</v>
      </c>
      <c r="O102" s="14" t="s">
        <v>900</v>
      </c>
      <c r="P102" s="14" t="s">
        <v>901</v>
      </c>
      <c r="Q102" s="14" t="s">
        <v>41</v>
      </c>
      <c r="R102" s="14" t="s">
        <v>56</v>
      </c>
      <c r="S102" s="14" t="s">
        <v>714</v>
      </c>
      <c r="T102" s="14" t="s">
        <v>90</v>
      </c>
      <c r="U102" s="14" t="s">
        <v>45</v>
      </c>
      <c r="V102" s="14" t="s">
        <v>902</v>
      </c>
      <c r="W102" s="14" t="s">
        <v>47</v>
      </c>
      <c r="X102" s="15" t="s">
        <v>903</v>
      </c>
      <c r="Y102" s="14" t="s">
        <v>329</v>
      </c>
      <c r="Z102" s="14" t="s">
        <v>50</v>
      </c>
    </row>
    <row r="103">
      <c r="A103" s="14" t="s">
        <v>904</v>
      </c>
      <c r="B103" s="14" t="s">
        <v>28</v>
      </c>
      <c r="C103" s="14" t="s">
        <v>905</v>
      </c>
      <c r="D103" s="14" t="s">
        <v>906</v>
      </c>
      <c r="E103" s="14" t="s">
        <v>907</v>
      </c>
      <c r="F103" s="14">
        <v>2025.0</v>
      </c>
      <c r="G103" s="14" t="s">
        <v>32</v>
      </c>
      <c r="H103" s="14" t="s">
        <v>33</v>
      </c>
      <c r="I103" s="14" t="s">
        <v>34</v>
      </c>
      <c r="J103" s="14" t="s">
        <v>35</v>
      </c>
      <c r="K103" s="15" t="s">
        <v>908</v>
      </c>
      <c r="L103" s="14" t="s">
        <v>909</v>
      </c>
      <c r="M103" s="14">
        <v>27.0</v>
      </c>
      <c r="N103" s="14" t="s">
        <v>910</v>
      </c>
      <c r="O103" s="14" t="s">
        <v>911</v>
      </c>
      <c r="P103" s="14" t="s">
        <v>912</v>
      </c>
      <c r="Q103" s="14" t="s">
        <v>41</v>
      </c>
      <c r="R103" s="14" t="s">
        <v>78</v>
      </c>
      <c r="S103" s="14" t="s">
        <v>79</v>
      </c>
      <c r="T103" s="14" t="s">
        <v>90</v>
      </c>
      <c r="U103" s="14" t="s">
        <v>45</v>
      </c>
      <c r="V103" s="14" t="s">
        <v>913</v>
      </c>
      <c r="W103" s="14" t="s">
        <v>47</v>
      </c>
      <c r="X103" s="15" t="s">
        <v>914</v>
      </c>
      <c r="Y103" s="14" t="s">
        <v>329</v>
      </c>
      <c r="Z103" s="14" t="s">
        <v>50</v>
      </c>
    </row>
    <row r="104">
      <c r="A104" s="14" t="s">
        <v>915</v>
      </c>
      <c r="B104" s="14" t="s">
        <v>28</v>
      </c>
      <c r="C104" s="14" t="s">
        <v>905</v>
      </c>
      <c r="D104" s="14" t="s">
        <v>906</v>
      </c>
      <c r="E104" s="14" t="s">
        <v>907</v>
      </c>
      <c r="F104" s="14">
        <v>2025.0</v>
      </c>
      <c r="G104" s="14" t="s">
        <v>32</v>
      </c>
      <c r="H104" s="14" t="s">
        <v>33</v>
      </c>
      <c r="I104" s="14" t="s">
        <v>34</v>
      </c>
      <c r="J104" s="14" t="s">
        <v>35</v>
      </c>
      <c r="K104" s="15" t="s">
        <v>916</v>
      </c>
      <c r="L104" s="14" t="s">
        <v>917</v>
      </c>
      <c r="M104" s="14">
        <v>25.0</v>
      </c>
      <c r="N104" s="14" t="s">
        <v>918</v>
      </c>
      <c r="O104" s="14" t="s">
        <v>919</v>
      </c>
      <c r="P104" s="14" t="s">
        <v>920</v>
      </c>
      <c r="Q104" s="14" t="s">
        <v>41</v>
      </c>
      <c r="R104" s="14" t="s">
        <v>56</v>
      </c>
      <c r="S104" s="14" t="s">
        <v>57</v>
      </c>
      <c r="T104" s="14" t="s">
        <v>128</v>
      </c>
      <c r="U104" s="14" t="s">
        <v>45</v>
      </c>
      <c r="V104" s="14" t="s">
        <v>921</v>
      </c>
      <c r="W104" s="14" t="s">
        <v>47</v>
      </c>
      <c r="X104" s="15" t="s">
        <v>922</v>
      </c>
      <c r="Y104" s="14" t="s">
        <v>329</v>
      </c>
      <c r="Z104" s="14" t="s">
        <v>50</v>
      </c>
    </row>
    <row r="105">
      <c r="A105" s="14" t="s">
        <v>923</v>
      </c>
      <c r="B105" s="14" t="s">
        <v>28</v>
      </c>
      <c r="C105" s="14" t="s">
        <v>924</v>
      </c>
      <c r="D105" s="14" t="s">
        <v>906</v>
      </c>
      <c r="E105" s="14" t="s">
        <v>907</v>
      </c>
      <c r="F105" s="14">
        <v>2025.0</v>
      </c>
      <c r="G105" s="14" t="s">
        <v>32</v>
      </c>
      <c r="H105" s="14" t="s">
        <v>33</v>
      </c>
      <c r="I105" s="14" t="s">
        <v>34</v>
      </c>
      <c r="J105" s="14" t="s">
        <v>35</v>
      </c>
      <c r="K105" s="15" t="s">
        <v>925</v>
      </c>
      <c r="L105" s="14" t="s">
        <v>926</v>
      </c>
      <c r="M105" s="14">
        <v>32.0</v>
      </c>
      <c r="N105" s="14" t="s">
        <v>927</v>
      </c>
      <c r="O105" s="14" t="s">
        <v>928</v>
      </c>
      <c r="P105" s="14" t="s">
        <v>929</v>
      </c>
      <c r="Q105" s="14" t="s">
        <v>41</v>
      </c>
      <c r="R105" s="14" t="s">
        <v>56</v>
      </c>
      <c r="S105" s="14" t="s">
        <v>293</v>
      </c>
      <c r="T105" s="14" t="s">
        <v>188</v>
      </c>
      <c r="U105" s="14" t="s">
        <v>45</v>
      </c>
      <c r="V105" s="14" t="s">
        <v>930</v>
      </c>
      <c r="W105" s="14" t="s">
        <v>47</v>
      </c>
      <c r="X105" s="15" t="s">
        <v>931</v>
      </c>
      <c r="Y105" s="14" t="s">
        <v>329</v>
      </c>
      <c r="Z105" s="14" t="s">
        <v>70</v>
      </c>
      <c r="AA105" s="16" t="s">
        <v>932</v>
      </c>
    </row>
    <row r="106">
      <c r="A106" s="14" t="s">
        <v>933</v>
      </c>
      <c r="B106" s="14" t="s">
        <v>28</v>
      </c>
      <c r="C106" s="14" t="s">
        <v>905</v>
      </c>
      <c r="D106" s="14" t="s">
        <v>906</v>
      </c>
      <c r="E106" s="14" t="s">
        <v>907</v>
      </c>
      <c r="F106" s="14">
        <v>2025.0</v>
      </c>
      <c r="G106" s="14" t="s">
        <v>32</v>
      </c>
      <c r="H106" s="14" t="s">
        <v>33</v>
      </c>
      <c r="I106" s="14" t="s">
        <v>34</v>
      </c>
      <c r="J106" s="14" t="s">
        <v>35</v>
      </c>
      <c r="K106" s="15" t="s">
        <v>934</v>
      </c>
      <c r="L106" s="14" t="s">
        <v>935</v>
      </c>
      <c r="M106" s="14">
        <v>26.0</v>
      </c>
      <c r="N106" s="14" t="s">
        <v>936</v>
      </c>
      <c r="O106" s="14" t="s">
        <v>937</v>
      </c>
      <c r="P106" s="14" t="s">
        <v>938</v>
      </c>
      <c r="Q106" s="14" t="s">
        <v>41</v>
      </c>
      <c r="R106" s="14" t="s">
        <v>42</v>
      </c>
      <c r="S106" s="14" t="s">
        <v>138</v>
      </c>
      <c r="T106" s="14" t="s">
        <v>178</v>
      </c>
      <c r="U106" s="14" t="s">
        <v>45</v>
      </c>
      <c r="V106" s="14" t="s">
        <v>46</v>
      </c>
      <c r="W106" s="14" t="s">
        <v>47</v>
      </c>
      <c r="X106" s="15" t="s">
        <v>939</v>
      </c>
      <c r="Y106" s="14" t="s">
        <v>329</v>
      </c>
      <c r="Z106" s="14" t="s">
        <v>70</v>
      </c>
      <c r="AA106" s="16" t="s">
        <v>940</v>
      </c>
    </row>
    <row r="107">
      <c r="A107" s="14" t="s">
        <v>941</v>
      </c>
      <c r="B107" s="14" t="s">
        <v>28</v>
      </c>
      <c r="C107" s="14" t="s">
        <v>924</v>
      </c>
      <c r="D107" s="14" t="s">
        <v>906</v>
      </c>
      <c r="E107" s="14" t="s">
        <v>907</v>
      </c>
      <c r="F107" s="14">
        <v>2025.0</v>
      </c>
      <c r="G107" s="14" t="s">
        <v>32</v>
      </c>
      <c r="H107" s="14" t="s">
        <v>33</v>
      </c>
      <c r="I107" s="14" t="s">
        <v>34</v>
      </c>
      <c r="J107" s="14" t="s">
        <v>35</v>
      </c>
      <c r="K107" s="15" t="s">
        <v>942</v>
      </c>
      <c r="L107" s="14" t="s">
        <v>943</v>
      </c>
      <c r="M107" s="14">
        <v>23.0</v>
      </c>
      <c r="N107" s="14" t="s">
        <v>944</v>
      </c>
      <c r="O107" s="14" t="s">
        <v>945</v>
      </c>
      <c r="P107" s="14" t="s">
        <v>946</v>
      </c>
      <c r="Q107" s="14" t="s">
        <v>41</v>
      </c>
      <c r="R107" s="14" t="s">
        <v>78</v>
      </c>
      <c r="S107" s="14" t="s">
        <v>947</v>
      </c>
      <c r="T107" s="14" t="s">
        <v>104</v>
      </c>
      <c r="U107" s="14" t="s">
        <v>45</v>
      </c>
      <c r="V107" s="14" t="s">
        <v>948</v>
      </c>
      <c r="W107" s="14" t="s">
        <v>47</v>
      </c>
      <c r="X107" s="15" t="s">
        <v>949</v>
      </c>
      <c r="Y107" s="14" t="s">
        <v>329</v>
      </c>
      <c r="Z107" s="14" t="s">
        <v>70</v>
      </c>
      <c r="AA107" s="16" t="s">
        <v>950</v>
      </c>
    </row>
    <row r="108">
      <c r="A108" s="14" t="s">
        <v>951</v>
      </c>
      <c r="B108" s="14" t="s">
        <v>952</v>
      </c>
      <c r="C108" s="14" t="s">
        <v>953</v>
      </c>
      <c r="D108" s="14" t="s">
        <v>954</v>
      </c>
      <c r="E108" s="14" t="s">
        <v>955</v>
      </c>
      <c r="F108" s="14">
        <v>2025.0</v>
      </c>
      <c r="G108" s="14" t="s">
        <v>32</v>
      </c>
      <c r="H108" s="14" t="s">
        <v>33</v>
      </c>
      <c r="I108" s="14" t="s">
        <v>34</v>
      </c>
      <c r="J108" s="14" t="s">
        <v>35</v>
      </c>
      <c r="K108" s="15" t="s">
        <v>956</v>
      </c>
      <c r="L108" s="14" t="s">
        <v>957</v>
      </c>
      <c r="M108" s="14">
        <v>36.0</v>
      </c>
      <c r="N108" s="14" t="s">
        <v>958</v>
      </c>
      <c r="O108" s="14" t="s">
        <v>959</v>
      </c>
      <c r="P108" s="14" t="s">
        <v>960</v>
      </c>
      <c r="Q108" s="14" t="s">
        <v>41</v>
      </c>
      <c r="R108" s="14" t="s">
        <v>56</v>
      </c>
      <c r="S108" s="14" t="s">
        <v>57</v>
      </c>
      <c r="T108" s="14" t="s">
        <v>128</v>
      </c>
      <c r="U108" s="14" t="s">
        <v>45</v>
      </c>
      <c r="V108" s="14" t="s">
        <v>961</v>
      </c>
      <c r="W108" s="14" t="s">
        <v>47</v>
      </c>
      <c r="X108" s="15" t="s">
        <v>962</v>
      </c>
      <c r="Y108" s="14" t="s">
        <v>329</v>
      </c>
      <c r="Z108" s="14" t="s">
        <v>50</v>
      </c>
    </row>
    <row r="109">
      <c r="A109" s="14" t="s">
        <v>963</v>
      </c>
      <c r="B109" s="14" t="s">
        <v>952</v>
      </c>
      <c r="C109" s="14" t="s">
        <v>953</v>
      </c>
      <c r="D109" s="14" t="s">
        <v>954</v>
      </c>
      <c r="E109" s="14" t="s">
        <v>955</v>
      </c>
      <c r="F109" s="14">
        <v>2025.0</v>
      </c>
      <c r="G109" s="14" t="s">
        <v>32</v>
      </c>
      <c r="H109" s="14" t="s">
        <v>33</v>
      </c>
      <c r="I109" s="14" t="s">
        <v>34</v>
      </c>
      <c r="J109" s="14" t="s">
        <v>35</v>
      </c>
      <c r="K109" s="15" t="s">
        <v>964</v>
      </c>
      <c r="L109" s="14" t="s">
        <v>965</v>
      </c>
      <c r="M109" s="14">
        <v>32.0</v>
      </c>
      <c r="N109" s="14" t="s">
        <v>966</v>
      </c>
      <c r="O109" s="14" t="s">
        <v>967</v>
      </c>
      <c r="P109" s="14" t="s">
        <v>968</v>
      </c>
      <c r="Q109" s="14" t="s">
        <v>41</v>
      </c>
      <c r="R109" s="14" t="s">
        <v>56</v>
      </c>
      <c r="S109" s="14" t="s">
        <v>57</v>
      </c>
      <c r="T109" s="14" t="s">
        <v>128</v>
      </c>
      <c r="U109" s="14" t="s">
        <v>45</v>
      </c>
      <c r="V109" s="14" t="s">
        <v>969</v>
      </c>
      <c r="W109" s="14" t="s">
        <v>47</v>
      </c>
      <c r="X109" s="15" t="s">
        <v>970</v>
      </c>
      <c r="Y109" s="14" t="s">
        <v>329</v>
      </c>
      <c r="Z109" s="14" t="s">
        <v>50</v>
      </c>
    </row>
    <row r="110">
      <c r="A110" s="14" t="s">
        <v>971</v>
      </c>
      <c r="B110" s="14" t="s">
        <v>952</v>
      </c>
      <c r="C110" s="14" t="s">
        <v>953</v>
      </c>
      <c r="D110" s="14" t="s">
        <v>954</v>
      </c>
      <c r="E110" s="14" t="s">
        <v>955</v>
      </c>
      <c r="F110" s="14">
        <v>2025.0</v>
      </c>
      <c r="G110" s="14" t="s">
        <v>32</v>
      </c>
      <c r="H110" s="14" t="s">
        <v>33</v>
      </c>
      <c r="I110" s="14" t="s">
        <v>34</v>
      </c>
      <c r="J110" s="14" t="s">
        <v>35</v>
      </c>
      <c r="K110" s="15" t="s">
        <v>972</v>
      </c>
      <c r="L110" s="14" t="s">
        <v>973</v>
      </c>
      <c r="M110" s="14">
        <v>21.0</v>
      </c>
      <c r="N110" s="14" t="s">
        <v>974</v>
      </c>
      <c r="O110" s="14" t="s">
        <v>975</v>
      </c>
      <c r="P110" s="14" t="s">
        <v>976</v>
      </c>
      <c r="Q110" s="14" t="s">
        <v>41</v>
      </c>
      <c r="R110" s="14" t="s">
        <v>56</v>
      </c>
      <c r="S110" s="14" t="s">
        <v>57</v>
      </c>
      <c r="T110" s="14" t="s">
        <v>128</v>
      </c>
      <c r="U110" s="14" t="s">
        <v>45</v>
      </c>
      <c r="V110" s="14" t="s">
        <v>977</v>
      </c>
      <c r="W110" s="14" t="s">
        <v>47</v>
      </c>
      <c r="X110" s="15" t="s">
        <v>978</v>
      </c>
      <c r="Y110" s="14" t="s">
        <v>329</v>
      </c>
      <c r="Z110" s="14" t="s">
        <v>50</v>
      </c>
    </row>
    <row r="111">
      <c r="A111" s="14" t="s">
        <v>979</v>
      </c>
      <c r="B111" s="14" t="s">
        <v>952</v>
      </c>
      <c r="C111" s="14" t="s">
        <v>953</v>
      </c>
      <c r="D111" s="14" t="s">
        <v>954</v>
      </c>
      <c r="E111" s="14" t="s">
        <v>955</v>
      </c>
      <c r="F111" s="14">
        <v>2025.0</v>
      </c>
      <c r="G111" s="14" t="s">
        <v>32</v>
      </c>
      <c r="H111" s="14" t="s">
        <v>33</v>
      </c>
      <c r="I111" s="14" t="s">
        <v>34</v>
      </c>
      <c r="J111" s="14" t="s">
        <v>35</v>
      </c>
      <c r="K111" s="15" t="s">
        <v>980</v>
      </c>
      <c r="L111" s="14" t="s">
        <v>981</v>
      </c>
      <c r="M111" s="14">
        <v>24.0</v>
      </c>
      <c r="N111" s="14" t="s">
        <v>982</v>
      </c>
      <c r="O111" s="14" t="s">
        <v>983</v>
      </c>
      <c r="P111" s="14" t="s">
        <v>984</v>
      </c>
      <c r="Q111" s="14" t="s">
        <v>41</v>
      </c>
      <c r="R111" s="14" t="s">
        <v>42</v>
      </c>
      <c r="S111" s="14" t="s">
        <v>153</v>
      </c>
      <c r="T111" s="14" t="s">
        <v>58</v>
      </c>
      <c r="U111" s="14" t="s">
        <v>45</v>
      </c>
      <c r="V111" s="14" t="s">
        <v>46</v>
      </c>
      <c r="W111" s="14" t="s">
        <v>47</v>
      </c>
      <c r="X111" s="15" t="s">
        <v>985</v>
      </c>
      <c r="Y111" s="14" t="s">
        <v>329</v>
      </c>
      <c r="Z111" s="14" t="s">
        <v>50</v>
      </c>
    </row>
    <row r="112">
      <c r="A112" s="14" t="s">
        <v>986</v>
      </c>
      <c r="B112" s="14" t="s">
        <v>952</v>
      </c>
      <c r="C112" s="14" t="s">
        <v>953</v>
      </c>
      <c r="D112" s="14" t="s">
        <v>954</v>
      </c>
      <c r="E112" s="14" t="s">
        <v>955</v>
      </c>
      <c r="F112" s="14">
        <v>2025.0</v>
      </c>
      <c r="G112" s="14" t="s">
        <v>32</v>
      </c>
      <c r="H112" s="14" t="s">
        <v>33</v>
      </c>
      <c r="I112" s="14" t="s">
        <v>34</v>
      </c>
      <c r="J112" s="14" t="s">
        <v>35</v>
      </c>
      <c r="K112" s="15" t="s">
        <v>987</v>
      </c>
      <c r="L112" s="14" t="s">
        <v>988</v>
      </c>
      <c r="M112" s="14">
        <v>36.0</v>
      </c>
      <c r="N112" s="14" t="s">
        <v>989</v>
      </c>
      <c r="O112" s="14" t="s">
        <v>990</v>
      </c>
      <c r="P112" s="14" t="s">
        <v>991</v>
      </c>
      <c r="Q112" s="14" t="s">
        <v>316</v>
      </c>
      <c r="R112" s="14" t="s">
        <v>404</v>
      </c>
      <c r="S112" s="14" t="s">
        <v>405</v>
      </c>
      <c r="T112" s="14" t="s">
        <v>178</v>
      </c>
      <c r="U112" s="14" t="s">
        <v>45</v>
      </c>
      <c r="V112" s="14" t="s">
        <v>992</v>
      </c>
      <c r="W112" s="14" t="s">
        <v>47</v>
      </c>
      <c r="X112" s="15" t="s">
        <v>993</v>
      </c>
      <c r="Y112" s="14" t="s">
        <v>329</v>
      </c>
      <c r="Z112" s="14" t="s">
        <v>50</v>
      </c>
    </row>
    <row r="113">
      <c r="A113" s="14" t="s">
        <v>994</v>
      </c>
      <c r="B113" s="14" t="s">
        <v>952</v>
      </c>
      <c r="C113" s="14" t="s">
        <v>953</v>
      </c>
      <c r="D113" s="14" t="s">
        <v>995</v>
      </c>
      <c r="E113" s="14" t="s">
        <v>996</v>
      </c>
      <c r="F113" s="14">
        <v>2025.0</v>
      </c>
      <c r="G113" s="14" t="s">
        <v>32</v>
      </c>
      <c r="H113" s="14" t="s">
        <v>33</v>
      </c>
      <c r="I113" s="14" t="s">
        <v>34</v>
      </c>
      <c r="J113" s="14" t="s">
        <v>35</v>
      </c>
      <c r="K113" s="15" t="s">
        <v>997</v>
      </c>
      <c r="L113" s="14" t="s">
        <v>998</v>
      </c>
      <c r="M113" s="14">
        <v>21.0</v>
      </c>
      <c r="N113" s="14" t="s">
        <v>999</v>
      </c>
      <c r="O113" s="14" t="s">
        <v>1000</v>
      </c>
      <c r="P113" s="14" t="s">
        <v>1001</v>
      </c>
      <c r="Q113" s="14" t="s">
        <v>41</v>
      </c>
      <c r="R113" s="14" t="s">
        <v>56</v>
      </c>
      <c r="S113" s="14" t="s">
        <v>57</v>
      </c>
      <c r="T113" s="14" t="s">
        <v>128</v>
      </c>
      <c r="U113" s="14" t="s">
        <v>45</v>
      </c>
      <c r="V113" s="14" t="s">
        <v>1002</v>
      </c>
      <c r="W113" s="14" t="s">
        <v>47</v>
      </c>
      <c r="X113" s="15" t="s">
        <v>1003</v>
      </c>
      <c r="Y113" s="14" t="s">
        <v>329</v>
      </c>
      <c r="Z113" s="14" t="s">
        <v>50</v>
      </c>
    </row>
    <row r="114">
      <c r="A114" s="14" t="s">
        <v>1004</v>
      </c>
      <c r="B114" s="14" t="s">
        <v>952</v>
      </c>
      <c r="C114" s="14" t="s">
        <v>953</v>
      </c>
      <c r="D114" s="14" t="s">
        <v>995</v>
      </c>
      <c r="E114" s="14" t="s">
        <v>996</v>
      </c>
      <c r="F114" s="14">
        <v>2025.0</v>
      </c>
      <c r="G114" s="14" t="s">
        <v>32</v>
      </c>
      <c r="H114" s="14" t="s">
        <v>33</v>
      </c>
      <c r="I114" s="14" t="s">
        <v>34</v>
      </c>
      <c r="J114" s="14" t="s">
        <v>35</v>
      </c>
      <c r="K114" s="15" t="s">
        <v>1005</v>
      </c>
      <c r="L114" s="14" t="s">
        <v>1006</v>
      </c>
      <c r="M114" s="14">
        <v>22.0</v>
      </c>
      <c r="N114" s="14" t="s">
        <v>1007</v>
      </c>
      <c r="O114" s="14" t="s">
        <v>1008</v>
      </c>
      <c r="P114" s="14" t="s">
        <v>1009</v>
      </c>
      <c r="Q114" s="14" t="s">
        <v>41</v>
      </c>
      <c r="R114" s="14" t="s">
        <v>78</v>
      </c>
      <c r="S114" s="14" t="s">
        <v>89</v>
      </c>
      <c r="T114" s="14" t="s">
        <v>68</v>
      </c>
      <c r="U114" s="14" t="s">
        <v>45</v>
      </c>
      <c r="V114" s="14" t="s">
        <v>1010</v>
      </c>
      <c r="W114" s="14" t="s">
        <v>47</v>
      </c>
      <c r="X114" s="15" t="s">
        <v>1011</v>
      </c>
      <c r="Y114" s="14" t="s">
        <v>329</v>
      </c>
      <c r="Z114" s="14" t="s">
        <v>70</v>
      </c>
      <c r="AA114" s="16" t="s">
        <v>1012</v>
      </c>
    </row>
    <row r="115">
      <c r="A115" s="14" t="s">
        <v>1013</v>
      </c>
      <c r="B115" s="14" t="s">
        <v>952</v>
      </c>
      <c r="C115" s="14" t="s">
        <v>953</v>
      </c>
      <c r="D115" s="14" t="s">
        <v>995</v>
      </c>
      <c r="E115" s="14" t="s">
        <v>996</v>
      </c>
      <c r="F115" s="14">
        <v>2025.0</v>
      </c>
      <c r="G115" s="14" t="s">
        <v>32</v>
      </c>
      <c r="H115" s="14" t="s">
        <v>33</v>
      </c>
      <c r="I115" s="14" t="s">
        <v>34</v>
      </c>
      <c r="J115" s="14" t="s">
        <v>35</v>
      </c>
      <c r="K115" s="15" t="s">
        <v>1014</v>
      </c>
      <c r="L115" s="14" t="s">
        <v>1015</v>
      </c>
      <c r="M115" s="14">
        <v>19.0</v>
      </c>
      <c r="N115" s="14" t="s">
        <v>1016</v>
      </c>
      <c r="O115" s="14" t="s">
        <v>1017</v>
      </c>
      <c r="P115" s="14" t="s">
        <v>1018</v>
      </c>
      <c r="Q115" s="14" t="s">
        <v>41</v>
      </c>
      <c r="R115" s="14" t="s">
        <v>78</v>
      </c>
      <c r="S115" s="14" t="s">
        <v>89</v>
      </c>
      <c r="T115" s="14" t="s">
        <v>90</v>
      </c>
      <c r="U115" s="14" t="s">
        <v>45</v>
      </c>
      <c r="V115" s="14" t="s">
        <v>46</v>
      </c>
      <c r="W115" s="14" t="s">
        <v>47</v>
      </c>
      <c r="X115" s="15" t="s">
        <v>1019</v>
      </c>
      <c r="Y115" s="14" t="s">
        <v>329</v>
      </c>
      <c r="Z115" s="14" t="s">
        <v>70</v>
      </c>
      <c r="AA115" s="16" t="s">
        <v>1020</v>
      </c>
    </row>
    <row r="116">
      <c r="A116" s="14" t="s">
        <v>1021</v>
      </c>
      <c r="B116" s="14" t="s">
        <v>952</v>
      </c>
      <c r="C116" s="14" t="s">
        <v>953</v>
      </c>
      <c r="D116" s="14" t="s">
        <v>995</v>
      </c>
      <c r="E116" s="14" t="s">
        <v>996</v>
      </c>
      <c r="F116" s="14">
        <v>2025.0</v>
      </c>
      <c r="G116" s="14" t="s">
        <v>32</v>
      </c>
      <c r="H116" s="14" t="s">
        <v>33</v>
      </c>
      <c r="I116" s="14" t="s">
        <v>34</v>
      </c>
      <c r="J116" s="14" t="s">
        <v>35</v>
      </c>
      <c r="K116" s="15" t="s">
        <v>1022</v>
      </c>
      <c r="L116" s="14" t="s">
        <v>1023</v>
      </c>
      <c r="M116" s="14">
        <v>26.0</v>
      </c>
      <c r="N116" s="14" t="s">
        <v>1024</v>
      </c>
      <c r="O116" s="14" t="s">
        <v>1025</v>
      </c>
      <c r="P116" s="14" t="s">
        <v>1026</v>
      </c>
      <c r="Q116" s="14" t="s">
        <v>41</v>
      </c>
      <c r="R116" s="14" t="s">
        <v>1027</v>
      </c>
      <c r="S116" s="14" t="s">
        <v>1028</v>
      </c>
      <c r="T116" s="14" t="s">
        <v>198</v>
      </c>
      <c r="U116" s="14" t="s">
        <v>45</v>
      </c>
      <c r="V116" s="14" t="s">
        <v>1029</v>
      </c>
      <c r="W116" s="14" t="s">
        <v>47</v>
      </c>
      <c r="X116" s="15" t="s">
        <v>1030</v>
      </c>
      <c r="Y116" s="14" t="s">
        <v>329</v>
      </c>
      <c r="Z116" s="14" t="s">
        <v>70</v>
      </c>
      <c r="AA116" s="16" t="s">
        <v>1031</v>
      </c>
    </row>
    <row r="117">
      <c r="A117" s="14" t="s">
        <v>1032</v>
      </c>
      <c r="B117" s="14" t="s">
        <v>952</v>
      </c>
      <c r="C117" s="14" t="s">
        <v>953</v>
      </c>
      <c r="D117" s="14" t="s">
        <v>995</v>
      </c>
      <c r="E117" s="14" t="s">
        <v>996</v>
      </c>
      <c r="F117" s="14">
        <v>2025.0</v>
      </c>
      <c r="G117" s="14" t="s">
        <v>32</v>
      </c>
      <c r="H117" s="14" t="s">
        <v>33</v>
      </c>
      <c r="I117" s="14" t="s">
        <v>34</v>
      </c>
      <c r="J117" s="14" t="s">
        <v>35</v>
      </c>
      <c r="K117" s="15" t="s">
        <v>1033</v>
      </c>
      <c r="L117" s="14" t="s">
        <v>1034</v>
      </c>
      <c r="M117" s="14">
        <v>21.0</v>
      </c>
      <c r="N117" s="14" t="s">
        <v>1035</v>
      </c>
      <c r="O117" s="14" t="s">
        <v>1036</v>
      </c>
      <c r="P117" s="14" t="s">
        <v>1037</v>
      </c>
      <c r="Q117" s="14" t="s">
        <v>41</v>
      </c>
      <c r="R117" s="14" t="s">
        <v>42</v>
      </c>
      <c r="S117" s="14" t="s">
        <v>153</v>
      </c>
      <c r="T117" s="14" t="s">
        <v>58</v>
      </c>
      <c r="U117" s="14" t="s">
        <v>45</v>
      </c>
      <c r="V117" s="14" t="s">
        <v>46</v>
      </c>
      <c r="W117" s="14" t="s">
        <v>47</v>
      </c>
      <c r="X117" s="15" t="s">
        <v>1038</v>
      </c>
      <c r="Y117" s="14" t="s">
        <v>329</v>
      </c>
      <c r="Z117" s="14" t="s">
        <v>50</v>
      </c>
    </row>
    <row r="118">
      <c r="A118" s="14" t="s">
        <v>1039</v>
      </c>
      <c r="B118" s="14" t="s">
        <v>1040</v>
      </c>
      <c r="C118" s="14" t="s">
        <v>1041</v>
      </c>
      <c r="D118" s="14" t="s">
        <v>1042</v>
      </c>
      <c r="E118" s="14" t="s">
        <v>1043</v>
      </c>
      <c r="F118" s="14">
        <v>2026.0</v>
      </c>
      <c r="G118" s="14" t="s">
        <v>32</v>
      </c>
      <c r="H118" s="14" t="s">
        <v>33</v>
      </c>
      <c r="I118" s="14" t="s">
        <v>34</v>
      </c>
      <c r="J118" s="14" t="s">
        <v>35</v>
      </c>
      <c r="K118" s="15" t="s">
        <v>1044</v>
      </c>
      <c r="L118" s="14" t="s">
        <v>1045</v>
      </c>
      <c r="M118" s="14">
        <v>32.0</v>
      </c>
      <c r="N118" s="14" t="s">
        <v>1046</v>
      </c>
      <c r="O118" s="14" t="s">
        <v>1047</v>
      </c>
      <c r="P118" s="14" t="s">
        <v>1048</v>
      </c>
      <c r="Q118" s="14" t="s">
        <v>41</v>
      </c>
      <c r="R118" s="14" t="s">
        <v>1027</v>
      </c>
      <c r="S118" s="14" t="s">
        <v>1028</v>
      </c>
      <c r="T118" s="14" t="s">
        <v>198</v>
      </c>
      <c r="U118" s="14" t="s">
        <v>45</v>
      </c>
      <c r="V118" s="14" t="s">
        <v>1049</v>
      </c>
      <c r="W118" s="14" t="s">
        <v>47</v>
      </c>
      <c r="X118" s="15" t="s">
        <v>1050</v>
      </c>
      <c r="Y118" s="14" t="s">
        <v>329</v>
      </c>
      <c r="Z118" s="14" t="s">
        <v>50</v>
      </c>
    </row>
    <row r="119">
      <c r="A119" s="14" t="s">
        <v>1051</v>
      </c>
      <c r="B119" s="14" t="s">
        <v>1040</v>
      </c>
      <c r="C119" s="14" t="s">
        <v>1041</v>
      </c>
      <c r="D119" s="14" t="s">
        <v>1042</v>
      </c>
      <c r="E119" s="14" t="s">
        <v>1043</v>
      </c>
      <c r="F119" s="14">
        <v>2026.0</v>
      </c>
      <c r="G119" s="14" t="s">
        <v>32</v>
      </c>
      <c r="H119" s="14" t="s">
        <v>33</v>
      </c>
      <c r="I119" s="14" t="s">
        <v>34</v>
      </c>
      <c r="J119" s="14" t="s">
        <v>35</v>
      </c>
      <c r="K119" s="15" t="s">
        <v>1052</v>
      </c>
      <c r="L119" s="14" t="s">
        <v>1053</v>
      </c>
      <c r="M119" s="14">
        <v>31.0</v>
      </c>
      <c r="N119" s="14" t="s">
        <v>1054</v>
      </c>
      <c r="O119" s="14" t="s">
        <v>1055</v>
      </c>
      <c r="P119" s="14" t="s">
        <v>1056</v>
      </c>
      <c r="Q119" s="14" t="s">
        <v>41</v>
      </c>
      <c r="R119" s="14" t="s">
        <v>1027</v>
      </c>
      <c r="S119" s="14" t="s">
        <v>1028</v>
      </c>
      <c r="T119" s="14" t="s">
        <v>504</v>
      </c>
      <c r="U119" s="14" t="s">
        <v>45</v>
      </c>
      <c r="V119" s="14" t="s">
        <v>1057</v>
      </c>
      <c r="W119" s="14" t="s">
        <v>47</v>
      </c>
      <c r="X119" s="15" t="s">
        <v>1058</v>
      </c>
      <c r="Y119" s="14" t="s">
        <v>329</v>
      </c>
      <c r="Z119" s="14" t="s">
        <v>50</v>
      </c>
    </row>
    <row r="120">
      <c r="A120" s="14" t="s">
        <v>1059</v>
      </c>
      <c r="B120" s="14" t="s">
        <v>1040</v>
      </c>
      <c r="C120" s="14" t="s">
        <v>1041</v>
      </c>
      <c r="D120" s="14" t="s">
        <v>1042</v>
      </c>
      <c r="E120" s="14" t="s">
        <v>1043</v>
      </c>
      <c r="F120" s="14">
        <v>2026.0</v>
      </c>
      <c r="G120" s="14" t="s">
        <v>32</v>
      </c>
      <c r="H120" s="14" t="s">
        <v>33</v>
      </c>
      <c r="I120" s="14" t="s">
        <v>34</v>
      </c>
      <c r="J120" s="14" t="s">
        <v>35</v>
      </c>
      <c r="K120" s="15" t="s">
        <v>1060</v>
      </c>
      <c r="L120" s="14" t="s">
        <v>1053</v>
      </c>
      <c r="M120" s="14">
        <v>19.0</v>
      </c>
      <c r="N120" s="14" t="s">
        <v>1061</v>
      </c>
      <c r="O120" s="14" t="s">
        <v>1062</v>
      </c>
      <c r="P120" s="14" t="s">
        <v>1063</v>
      </c>
      <c r="Q120" s="14" t="s">
        <v>41</v>
      </c>
      <c r="R120" s="14" t="s">
        <v>273</v>
      </c>
      <c r="S120" s="14" t="s">
        <v>274</v>
      </c>
      <c r="T120" s="14" t="s">
        <v>275</v>
      </c>
      <c r="U120" s="14" t="s">
        <v>45</v>
      </c>
      <c r="V120" s="14" t="s">
        <v>1064</v>
      </c>
      <c r="W120" s="14" t="s">
        <v>47</v>
      </c>
      <c r="X120" s="15" t="s">
        <v>1065</v>
      </c>
      <c r="Y120" s="14" t="s">
        <v>329</v>
      </c>
      <c r="Z120" s="14" t="s">
        <v>50</v>
      </c>
    </row>
    <row r="121">
      <c r="A121" s="14" t="s">
        <v>1066</v>
      </c>
      <c r="B121" s="14" t="s">
        <v>1040</v>
      </c>
      <c r="C121" s="14" t="s">
        <v>1041</v>
      </c>
      <c r="D121" s="14" t="s">
        <v>1042</v>
      </c>
      <c r="E121" s="14" t="s">
        <v>1043</v>
      </c>
      <c r="F121" s="14">
        <v>2026.0</v>
      </c>
      <c r="G121" s="14" t="s">
        <v>32</v>
      </c>
      <c r="H121" s="14" t="s">
        <v>33</v>
      </c>
      <c r="I121" s="14" t="s">
        <v>34</v>
      </c>
      <c r="J121" s="14" t="s">
        <v>35</v>
      </c>
      <c r="K121" s="15" t="s">
        <v>1067</v>
      </c>
      <c r="L121" s="14" t="s">
        <v>1053</v>
      </c>
      <c r="M121" s="14">
        <v>26.0</v>
      </c>
      <c r="N121" s="14" t="s">
        <v>1068</v>
      </c>
      <c r="O121" s="14" t="s">
        <v>1069</v>
      </c>
      <c r="P121" s="14" t="s">
        <v>1070</v>
      </c>
      <c r="Q121" s="14" t="s">
        <v>41</v>
      </c>
      <c r="R121" s="14" t="s">
        <v>1027</v>
      </c>
      <c r="S121" s="14" t="s">
        <v>1028</v>
      </c>
      <c r="T121" s="14" t="s">
        <v>198</v>
      </c>
      <c r="U121" s="14" t="s">
        <v>45</v>
      </c>
      <c r="V121" s="14" t="s">
        <v>1071</v>
      </c>
      <c r="W121" s="14" t="s">
        <v>47</v>
      </c>
      <c r="X121" s="15" t="s">
        <v>1072</v>
      </c>
      <c r="Y121" s="14" t="s">
        <v>329</v>
      </c>
      <c r="Z121" s="14" t="s">
        <v>50</v>
      </c>
    </row>
    <row r="122">
      <c r="A122" s="14" t="s">
        <v>1073</v>
      </c>
      <c r="B122" s="14" t="s">
        <v>1040</v>
      </c>
      <c r="C122" s="14" t="s">
        <v>1041</v>
      </c>
      <c r="D122" s="14" t="s">
        <v>1042</v>
      </c>
      <c r="E122" s="14" t="s">
        <v>1043</v>
      </c>
      <c r="F122" s="14">
        <v>2026.0</v>
      </c>
      <c r="G122" s="14" t="s">
        <v>32</v>
      </c>
      <c r="H122" s="14" t="s">
        <v>33</v>
      </c>
      <c r="I122" s="14" t="s">
        <v>34</v>
      </c>
      <c r="J122" s="14" t="s">
        <v>35</v>
      </c>
      <c r="K122" s="15" t="s">
        <v>1074</v>
      </c>
      <c r="L122" s="14" t="s">
        <v>1075</v>
      </c>
      <c r="M122" s="14">
        <v>24.0</v>
      </c>
      <c r="N122" s="14" t="s">
        <v>1076</v>
      </c>
      <c r="O122" s="14" t="s">
        <v>1077</v>
      </c>
      <c r="P122" s="14" t="s">
        <v>1078</v>
      </c>
      <c r="Q122" s="14" t="s">
        <v>41</v>
      </c>
      <c r="R122" s="14" t="s">
        <v>1027</v>
      </c>
      <c r="S122" s="14" t="s">
        <v>1028</v>
      </c>
      <c r="T122" s="14" t="s">
        <v>160</v>
      </c>
      <c r="U122" s="14" t="s">
        <v>45</v>
      </c>
      <c r="V122" s="14" t="s">
        <v>46</v>
      </c>
      <c r="W122" s="14" t="s">
        <v>1079</v>
      </c>
      <c r="X122" s="15" t="s">
        <v>1080</v>
      </c>
      <c r="Y122" s="14" t="s">
        <v>329</v>
      </c>
      <c r="Z122" s="14" t="s">
        <v>50</v>
      </c>
    </row>
    <row r="123">
      <c r="A123" s="14" t="s">
        <v>1081</v>
      </c>
      <c r="B123" s="14" t="s">
        <v>386</v>
      </c>
      <c r="C123" s="14" t="s">
        <v>1082</v>
      </c>
      <c r="D123" s="14" t="s">
        <v>1083</v>
      </c>
      <c r="E123" s="14" t="s">
        <v>1084</v>
      </c>
      <c r="F123" s="14">
        <v>2025.0</v>
      </c>
      <c r="G123" s="14" t="s">
        <v>32</v>
      </c>
      <c r="H123" s="14" t="s">
        <v>33</v>
      </c>
      <c r="I123" s="14" t="s">
        <v>34</v>
      </c>
      <c r="J123" s="14" t="s">
        <v>35</v>
      </c>
      <c r="K123" s="15" t="s">
        <v>1085</v>
      </c>
      <c r="L123" s="14" t="s">
        <v>1086</v>
      </c>
      <c r="M123" s="14">
        <v>38.0</v>
      </c>
      <c r="N123" s="14" t="s">
        <v>1087</v>
      </c>
      <c r="O123" s="14" t="s">
        <v>1088</v>
      </c>
      <c r="P123" s="14" t="s">
        <v>1089</v>
      </c>
      <c r="Q123" s="14" t="s">
        <v>316</v>
      </c>
      <c r="R123" s="14" t="s">
        <v>404</v>
      </c>
      <c r="S123" s="14" t="s">
        <v>1090</v>
      </c>
      <c r="T123" s="14" t="s">
        <v>58</v>
      </c>
      <c r="U123" s="14" t="s">
        <v>45</v>
      </c>
      <c r="V123" s="14" t="s">
        <v>1091</v>
      </c>
      <c r="W123" s="14" t="s">
        <v>47</v>
      </c>
      <c r="X123" s="15" t="s">
        <v>1092</v>
      </c>
      <c r="Y123" s="14" t="s">
        <v>329</v>
      </c>
      <c r="Z123" s="14" t="s">
        <v>50</v>
      </c>
    </row>
    <row r="124">
      <c r="A124" s="14" t="s">
        <v>1093</v>
      </c>
      <c r="B124" s="14" t="s">
        <v>386</v>
      </c>
      <c r="C124" s="14" t="s">
        <v>1082</v>
      </c>
      <c r="D124" s="14" t="s">
        <v>1083</v>
      </c>
      <c r="E124" s="14" t="s">
        <v>1084</v>
      </c>
      <c r="F124" s="14">
        <v>2025.0</v>
      </c>
      <c r="G124" s="14" t="s">
        <v>32</v>
      </c>
      <c r="H124" s="14" t="s">
        <v>33</v>
      </c>
      <c r="I124" s="14" t="s">
        <v>34</v>
      </c>
      <c r="J124" s="14" t="s">
        <v>35</v>
      </c>
      <c r="K124" s="15" t="s">
        <v>1094</v>
      </c>
      <c r="L124" s="14" t="s">
        <v>1095</v>
      </c>
      <c r="M124" s="14">
        <v>29.0</v>
      </c>
      <c r="N124" s="14" t="s">
        <v>1096</v>
      </c>
      <c r="O124" s="14" t="s">
        <v>1097</v>
      </c>
      <c r="P124" s="14" t="s">
        <v>1098</v>
      </c>
      <c r="Q124" s="14" t="s">
        <v>41</v>
      </c>
      <c r="R124" s="14" t="s">
        <v>404</v>
      </c>
      <c r="S124" s="14" t="s">
        <v>1099</v>
      </c>
      <c r="T124" s="14" t="s">
        <v>104</v>
      </c>
      <c r="U124" s="14" t="s">
        <v>45</v>
      </c>
      <c r="V124" s="14" t="s">
        <v>1100</v>
      </c>
      <c r="W124" s="14" t="s">
        <v>47</v>
      </c>
      <c r="X124" s="15" t="s">
        <v>1101</v>
      </c>
      <c r="Y124" s="14" t="s">
        <v>329</v>
      </c>
      <c r="Z124" s="14" t="s">
        <v>50</v>
      </c>
    </row>
    <row r="125">
      <c r="A125" s="14" t="s">
        <v>1102</v>
      </c>
      <c r="B125" s="14" t="s">
        <v>386</v>
      </c>
      <c r="C125" s="14" t="s">
        <v>1082</v>
      </c>
      <c r="D125" s="14" t="s">
        <v>1083</v>
      </c>
      <c r="E125" s="14" t="s">
        <v>1084</v>
      </c>
      <c r="F125" s="14">
        <v>2025.0</v>
      </c>
      <c r="G125" s="14" t="s">
        <v>32</v>
      </c>
      <c r="H125" s="14" t="s">
        <v>33</v>
      </c>
      <c r="I125" s="14" t="s">
        <v>34</v>
      </c>
      <c r="J125" s="14" t="s">
        <v>35</v>
      </c>
      <c r="K125" s="15" t="s">
        <v>1103</v>
      </c>
      <c r="L125" s="14" t="s">
        <v>1104</v>
      </c>
      <c r="M125" s="14">
        <v>24.0</v>
      </c>
      <c r="N125" s="14" t="s">
        <v>1105</v>
      </c>
      <c r="O125" s="14" t="s">
        <v>1106</v>
      </c>
      <c r="P125" s="14" t="s">
        <v>1107</v>
      </c>
      <c r="Q125" s="14" t="s">
        <v>41</v>
      </c>
      <c r="R125" s="14" t="s">
        <v>404</v>
      </c>
      <c r="S125" s="14" t="s">
        <v>846</v>
      </c>
      <c r="T125" s="14" t="s">
        <v>198</v>
      </c>
      <c r="U125" s="14" t="s">
        <v>45</v>
      </c>
      <c r="V125" s="14" t="s">
        <v>1108</v>
      </c>
      <c r="W125" s="14" t="s">
        <v>47</v>
      </c>
      <c r="X125" s="15" t="s">
        <v>1109</v>
      </c>
      <c r="Y125" s="14" t="s">
        <v>329</v>
      </c>
      <c r="Z125" s="14" t="s">
        <v>50</v>
      </c>
    </row>
    <row r="126">
      <c r="A126" s="14" t="s">
        <v>1110</v>
      </c>
      <c r="B126" s="14" t="s">
        <v>386</v>
      </c>
      <c r="C126" s="14" t="s">
        <v>1082</v>
      </c>
      <c r="D126" s="14" t="s">
        <v>1083</v>
      </c>
      <c r="E126" s="14" t="s">
        <v>1084</v>
      </c>
      <c r="F126" s="14">
        <v>2025.0</v>
      </c>
      <c r="G126" s="14" t="s">
        <v>32</v>
      </c>
      <c r="H126" s="14" t="s">
        <v>33</v>
      </c>
      <c r="I126" s="14" t="s">
        <v>34</v>
      </c>
      <c r="J126" s="14" t="s">
        <v>35</v>
      </c>
      <c r="K126" s="15" t="s">
        <v>1111</v>
      </c>
      <c r="L126" s="14" t="s">
        <v>1112</v>
      </c>
      <c r="M126" s="14">
        <v>26.0</v>
      </c>
      <c r="N126" s="14" t="s">
        <v>1113</v>
      </c>
      <c r="O126" s="14" t="s">
        <v>1114</v>
      </c>
      <c r="P126" s="14" t="s">
        <v>1115</v>
      </c>
      <c r="Q126" s="14" t="s">
        <v>41</v>
      </c>
      <c r="R126" s="14" t="s">
        <v>42</v>
      </c>
      <c r="S126" s="14" t="s">
        <v>138</v>
      </c>
      <c r="T126" s="14" t="s">
        <v>58</v>
      </c>
      <c r="U126" s="14" t="s">
        <v>45</v>
      </c>
      <c r="V126" s="14" t="s">
        <v>1116</v>
      </c>
      <c r="W126" s="14" t="s">
        <v>47</v>
      </c>
      <c r="X126" s="15" t="s">
        <v>1117</v>
      </c>
      <c r="Y126" s="14" t="s">
        <v>329</v>
      </c>
      <c r="Z126" s="14" t="s">
        <v>50</v>
      </c>
    </row>
    <row r="127">
      <c r="A127" s="14" t="s">
        <v>1118</v>
      </c>
      <c r="B127" s="14" t="s">
        <v>386</v>
      </c>
      <c r="C127" s="14" t="s">
        <v>1082</v>
      </c>
      <c r="D127" s="14" t="s">
        <v>1083</v>
      </c>
      <c r="E127" s="14" t="s">
        <v>1084</v>
      </c>
      <c r="F127" s="14">
        <v>2025.0</v>
      </c>
      <c r="G127" s="14" t="s">
        <v>32</v>
      </c>
      <c r="H127" s="14" t="s">
        <v>33</v>
      </c>
      <c r="I127" s="14" t="s">
        <v>34</v>
      </c>
      <c r="J127" s="14" t="s">
        <v>35</v>
      </c>
      <c r="K127" s="15" t="s">
        <v>1119</v>
      </c>
      <c r="L127" s="14" t="s">
        <v>1120</v>
      </c>
      <c r="M127" s="14">
        <v>25.0</v>
      </c>
      <c r="N127" s="14" t="s">
        <v>1121</v>
      </c>
      <c r="O127" s="14" t="s">
        <v>1122</v>
      </c>
      <c r="P127" s="14" t="s">
        <v>1123</v>
      </c>
      <c r="Q127" s="14" t="s">
        <v>41</v>
      </c>
      <c r="R127" s="14" t="s">
        <v>404</v>
      </c>
      <c r="S127" s="14" t="s">
        <v>1124</v>
      </c>
      <c r="T127" s="14" t="s">
        <v>104</v>
      </c>
      <c r="U127" s="14" t="s">
        <v>45</v>
      </c>
      <c r="V127" s="14" t="s">
        <v>1125</v>
      </c>
      <c r="W127" s="14" t="s">
        <v>47</v>
      </c>
      <c r="X127" s="15" t="s">
        <v>1126</v>
      </c>
      <c r="Y127" s="14" t="s">
        <v>329</v>
      </c>
      <c r="Z127" s="14" t="s">
        <v>50</v>
      </c>
    </row>
    <row r="128">
      <c r="A128" s="14" t="s">
        <v>1127</v>
      </c>
      <c r="B128" s="14" t="s">
        <v>1040</v>
      </c>
      <c r="C128" s="14" t="s">
        <v>1128</v>
      </c>
      <c r="D128" s="14" t="s">
        <v>1129</v>
      </c>
      <c r="E128" s="14" t="s">
        <v>1130</v>
      </c>
      <c r="F128" s="14">
        <v>2025.0</v>
      </c>
      <c r="G128" s="14" t="s">
        <v>1131</v>
      </c>
      <c r="H128" s="14" t="s">
        <v>1132</v>
      </c>
      <c r="I128" s="14" t="s">
        <v>1133</v>
      </c>
      <c r="J128" s="14" t="s">
        <v>1134</v>
      </c>
      <c r="K128" s="15" t="s">
        <v>1135</v>
      </c>
      <c r="L128" s="14" t="s">
        <v>1136</v>
      </c>
      <c r="M128" s="14">
        <v>29.0</v>
      </c>
      <c r="N128" s="14" t="s">
        <v>1137</v>
      </c>
      <c r="O128" s="14" t="s">
        <v>1138</v>
      </c>
      <c r="P128" s="14" t="s">
        <v>1139</v>
      </c>
      <c r="Q128" s="14" t="s">
        <v>316</v>
      </c>
      <c r="R128" s="14" t="s">
        <v>404</v>
      </c>
      <c r="S128" s="14" t="s">
        <v>405</v>
      </c>
      <c r="T128" s="14" t="s">
        <v>178</v>
      </c>
      <c r="U128" s="14" t="s">
        <v>45</v>
      </c>
      <c r="V128" s="14" t="s">
        <v>1140</v>
      </c>
      <c r="W128" s="14" t="s">
        <v>47</v>
      </c>
      <c r="X128" s="15" t="s">
        <v>1141</v>
      </c>
      <c r="Y128" s="14" t="s">
        <v>329</v>
      </c>
      <c r="Z128" s="14" t="s">
        <v>50</v>
      </c>
    </row>
    <row r="129">
      <c r="A129" s="14" t="s">
        <v>1142</v>
      </c>
      <c r="B129" s="14" t="s">
        <v>1040</v>
      </c>
      <c r="C129" s="14" t="s">
        <v>1143</v>
      </c>
      <c r="D129" s="14" t="s">
        <v>1144</v>
      </c>
      <c r="E129" s="14" t="s">
        <v>1145</v>
      </c>
      <c r="F129" s="14">
        <v>2024.0</v>
      </c>
      <c r="G129" s="14" t="s">
        <v>32</v>
      </c>
      <c r="H129" s="14" t="s">
        <v>33</v>
      </c>
      <c r="I129" s="14" t="s">
        <v>34</v>
      </c>
      <c r="J129" s="14" t="s">
        <v>35</v>
      </c>
      <c r="K129" s="15" t="s">
        <v>1146</v>
      </c>
      <c r="L129" s="14" t="s">
        <v>1147</v>
      </c>
      <c r="M129" s="14">
        <v>31.0</v>
      </c>
      <c r="N129" s="14" t="s">
        <v>1148</v>
      </c>
      <c r="O129" s="14" t="s">
        <v>1149</v>
      </c>
      <c r="P129" s="14" t="s">
        <v>1150</v>
      </c>
      <c r="Q129" s="14" t="s">
        <v>41</v>
      </c>
      <c r="R129" s="14" t="s">
        <v>1027</v>
      </c>
      <c r="S129" s="14" t="s">
        <v>1028</v>
      </c>
      <c r="T129" s="14" t="s">
        <v>198</v>
      </c>
      <c r="U129" s="14" t="s">
        <v>45</v>
      </c>
      <c r="V129" s="14" t="s">
        <v>46</v>
      </c>
      <c r="W129" s="14" t="s">
        <v>47</v>
      </c>
      <c r="X129" s="15" t="s">
        <v>1151</v>
      </c>
      <c r="Y129" s="14" t="s">
        <v>329</v>
      </c>
      <c r="Z129" s="14" t="s">
        <v>50</v>
      </c>
    </row>
    <row r="130">
      <c r="A130" s="14" t="s">
        <v>1152</v>
      </c>
      <c r="B130" s="14" t="s">
        <v>1040</v>
      </c>
      <c r="C130" s="14" t="s">
        <v>1143</v>
      </c>
      <c r="D130" s="14" t="s">
        <v>1144</v>
      </c>
      <c r="E130" s="14" t="s">
        <v>1145</v>
      </c>
      <c r="F130" s="14">
        <v>2024.0</v>
      </c>
      <c r="G130" s="14" t="s">
        <v>32</v>
      </c>
      <c r="H130" s="14" t="s">
        <v>33</v>
      </c>
      <c r="I130" s="14" t="s">
        <v>34</v>
      </c>
      <c r="J130" s="14" t="s">
        <v>35</v>
      </c>
      <c r="K130" s="15" t="s">
        <v>1153</v>
      </c>
      <c r="L130" s="14" t="s">
        <v>1147</v>
      </c>
      <c r="M130" s="14">
        <v>32.0</v>
      </c>
      <c r="N130" s="14" t="s">
        <v>1154</v>
      </c>
      <c r="O130" s="14" t="s">
        <v>1155</v>
      </c>
      <c r="P130" s="14" t="s">
        <v>1156</v>
      </c>
      <c r="Q130" s="14" t="s">
        <v>41</v>
      </c>
      <c r="R130" s="14" t="s">
        <v>273</v>
      </c>
      <c r="S130" s="14" t="s">
        <v>548</v>
      </c>
      <c r="T130" s="14" t="s">
        <v>198</v>
      </c>
      <c r="U130" s="14" t="s">
        <v>45</v>
      </c>
      <c r="V130" s="14" t="s">
        <v>46</v>
      </c>
      <c r="W130" s="14" t="s">
        <v>47</v>
      </c>
      <c r="X130" s="15" t="s">
        <v>1157</v>
      </c>
      <c r="Y130" s="14" t="s">
        <v>329</v>
      </c>
      <c r="Z130" s="14" t="s">
        <v>50</v>
      </c>
    </row>
    <row r="131">
      <c r="A131" s="14" t="s">
        <v>1158</v>
      </c>
      <c r="B131" s="14" t="s">
        <v>1040</v>
      </c>
      <c r="C131" s="14" t="s">
        <v>1143</v>
      </c>
      <c r="D131" s="14" t="s">
        <v>1144</v>
      </c>
      <c r="E131" s="14" t="s">
        <v>1145</v>
      </c>
      <c r="F131" s="14">
        <v>2024.0</v>
      </c>
      <c r="G131" s="14" t="s">
        <v>32</v>
      </c>
      <c r="H131" s="14" t="s">
        <v>33</v>
      </c>
      <c r="I131" s="14" t="s">
        <v>34</v>
      </c>
      <c r="J131" s="14" t="s">
        <v>35</v>
      </c>
      <c r="K131" s="15" t="s">
        <v>1159</v>
      </c>
      <c r="L131" s="14" t="s">
        <v>1160</v>
      </c>
      <c r="M131" s="14">
        <v>22.0</v>
      </c>
      <c r="N131" s="14" t="s">
        <v>1161</v>
      </c>
      <c r="O131" s="14" t="s">
        <v>1162</v>
      </c>
      <c r="P131" s="14" t="s">
        <v>1163</v>
      </c>
      <c r="Q131" s="14" t="s">
        <v>41</v>
      </c>
      <c r="R131" s="14" t="s">
        <v>56</v>
      </c>
      <c r="S131" s="14" t="s">
        <v>57</v>
      </c>
      <c r="T131" s="14" t="s">
        <v>128</v>
      </c>
      <c r="U131" s="14" t="s">
        <v>45</v>
      </c>
      <c r="V131" s="14" t="s">
        <v>1164</v>
      </c>
      <c r="W131" s="14" t="s">
        <v>47</v>
      </c>
      <c r="X131" s="15" t="s">
        <v>1165</v>
      </c>
      <c r="Y131" s="14" t="s">
        <v>329</v>
      </c>
      <c r="Z131" s="14" t="s">
        <v>50</v>
      </c>
    </row>
    <row r="132">
      <c r="A132" s="14" t="s">
        <v>1166</v>
      </c>
      <c r="B132" s="14" t="s">
        <v>1040</v>
      </c>
      <c r="C132" s="14" t="s">
        <v>1128</v>
      </c>
      <c r="D132" s="14" t="s">
        <v>1129</v>
      </c>
      <c r="E132" s="14" t="s">
        <v>1130</v>
      </c>
      <c r="F132" s="14">
        <v>2025.0</v>
      </c>
      <c r="G132" s="14" t="s">
        <v>1131</v>
      </c>
      <c r="H132" s="14" t="s">
        <v>1132</v>
      </c>
      <c r="I132" s="14" t="s">
        <v>1133</v>
      </c>
      <c r="J132" s="14" t="s">
        <v>1134</v>
      </c>
      <c r="K132" s="15" t="s">
        <v>1167</v>
      </c>
      <c r="L132" s="14" t="s">
        <v>1168</v>
      </c>
      <c r="M132" s="14">
        <v>31.0</v>
      </c>
      <c r="N132" s="14" t="s">
        <v>1169</v>
      </c>
      <c r="O132" s="14" t="s">
        <v>1170</v>
      </c>
      <c r="P132" s="14" t="s">
        <v>1171</v>
      </c>
      <c r="Q132" s="14" t="s">
        <v>316</v>
      </c>
      <c r="R132" s="14" t="s">
        <v>78</v>
      </c>
      <c r="S132" s="14" t="s">
        <v>79</v>
      </c>
      <c r="T132" s="14" t="s">
        <v>44</v>
      </c>
      <c r="U132" s="14" t="s">
        <v>45</v>
      </c>
      <c r="V132" s="14" t="s">
        <v>46</v>
      </c>
      <c r="W132" s="14" t="s">
        <v>47</v>
      </c>
      <c r="X132" s="15" t="s">
        <v>1172</v>
      </c>
      <c r="Y132" s="14" t="s">
        <v>329</v>
      </c>
      <c r="Z132" s="14" t="s">
        <v>50</v>
      </c>
    </row>
    <row r="133">
      <c r="A133" s="14" t="s">
        <v>1173</v>
      </c>
      <c r="B133" s="14" t="s">
        <v>952</v>
      </c>
      <c r="C133" s="14" t="s">
        <v>1174</v>
      </c>
      <c r="D133" s="14" t="s">
        <v>1175</v>
      </c>
      <c r="E133" s="14" t="s">
        <v>1176</v>
      </c>
      <c r="F133" s="14">
        <v>2024.0</v>
      </c>
      <c r="G133" s="14" t="s">
        <v>32</v>
      </c>
      <c r="H133" s="14" t="s">
        <v>33</v>
      </c>
      <c r="I133" s="14" t="s">
        <v>34</v>
      </c>
      <c r="J133" s="14" t="s">
        <v>35</v>
      </c>
      <c r="K133" s="15" t="s">
        <v>1177</v>
      </c>
      <c r="L133" s="14" t="s">
        <v>1178</v>
      </c>
      <c r="M133" s="14">
        <v>26.0</v>
      </c>
      <c r="N133" s="14" t="s">
        <v>1179</v>
      </c>
      <c r="O133" s="14" t="s">
        <v>1180</v>
      </c>
      <c r="P133" s="14" t="s">
        <v>1181</v>
      </c>
      <c r="Q133" s="14" t="s">
        <v>41</v>
      </c>
      <c r="R133" s="14" t="s">
        <v>404</v>
      </c>
      <c r="S133" s="14" t="s">
        <v>1099</v>
      </c>
      <c r="T133" s="14" t="s">
        <v>104</v>
      </c>
      <c r="U133" s="14" t="s">
        <v>45</v>
      </c>
      <c r="V133" s="14" t="s">
        <v>1182</v>
      </c>
      <c r="W133" s="14" t="s">
        <v>47</v>
      </c>
      <c r="X133" s="15" t="s">
        <v>1183</v>
      </c>
      <c r="Y133" s="14" t="s">
        <v>329</v>
      </c>
      <c r="Z133" s="14" t="s">
        <v>50</v>
      </c>
    </row>
    <row r="134">
      <c r="A134" s="14" t="s">
        <v>1184</v>
      </c>
      <c r="B134" s="14" t="s">
        <v>952</v>
      </c>
      <c r="C134" s="14" t="s">
        <v>1174</v>
      </c>
      <c r="D134" s="14" t="s">
        <v>1175</v>
      </c>
      <c r="E134" s="14" t="s">
        <v>1176</v>
      </c>
      <c r="F134" s="14">
        <v>2024.0</v>
      </c>
      <c r="G134" s="14" t="s">
        <v>32</v>
      </c>
      <c r="H134" s="14" t="s">
        <v>33</v>
      </c>
      <c r="I134" s="14" t="s">
        <v>34</v>
      </c>
      <c r="J134" s="14" t="s">
        <v>35</v>
      </c>
      <c r="K134" s="15" t="s">
        <v>1185</v>
      </c>
      <c r="L134" s="14" t="s">
        <v>1186</v>
      </c>
      <c r="M134" s="14">
        <v>28.0</v>
      </c>
      <c r="N134" s="14" t="s">
        <v>1187</v>
      </c>
      <c r="O134" s="14" t="s">
        <v>1188</v>
      </c>
      <c r="P134" s="14" t="s">
        <v>1189</v>
      </c>
      <c r="Q134" s="14" t="s">
        <v>41</v>
      </c>
      <c r="R134" s="14" t="s">
        <v>404</v>
      </c>
      <c r="S134" s="14" t="s">
        <v>405</v>
      </c>
      <c r="T134" s="14" t="s">
        <v>504</v>
      </c>
      <c r="U134" s="14" t="s">
        <v>45</v>
      </c>
      <c r="V134" s="14" t="s">
        <v>1190</v>
      </c>
      <c r="W134" s="14" t="s">
        <v>47</v>
      </c>
      <c r="X134" s="15" t="s">
        <v>1191</v>
      </c>
      <c r="Y134" s="14" t="s">
        <v>329</v>
      </c>
      <c r="Z134" s="14" t="s">
        <v>50</v>
      </c>
    </row>
    <row r="135">
      <c r="A135" s="14" t="s">
        <v>1192</v>
      </c>
      <c r="B135" s="14" t="s">
        <v>952</v>
      </c>
      <c r="C135" s="14" t="s">
        <v>1174</v>
      </c>
      <c r="D135" s="14" t="s">
        <v>1175</v>
      </c>
      <c r="E135" s="14" t="s">
        <v>1176</v>
      </c>
      <c r="F135" s="14">
        <v>2024.0</v>
      </c>
      <c r="G135" s="14" t="s">
        <v>32</v>
      </c>
      <c r="H135" s="14" t="s">
        <v>33</v>
      </c>
      <c r="I135" s="14" t="s">
        <v>34</v>
      </c>
      <c r="J135" s="14" t="s">
        <v>35</v>
      </c>
      <c r="K135" s="15" t="s">
        <v>1193</v>
      </c>
      <c r="L135" s="14" t="s">
        <v>1194</v>
      </c>
      <c r="M135" s="14">
        <v>19.0</v>
      </c>
      <c r="N135" s="14" t="s">
        <v>1195</v>
      </c>
      <c r="O135" s="14" t="s">
        <v>1196</v>
      </c>
      <c r="P135" s="14" t="s">
        <v>1197</v>
      </c>
      <c r="Q135" s="14" t="s">
        <v>41</v>
      </c>
      <c r="R135" s="14" t="s">
        <v>42</v>
      </c>
      <c r="S135" s="14" t="s">
        <v>43</v>
      </c>
      <c r="T135" s="14" t="s">
        <v>139</v>
      </c>
      <c r="U135" s="14" t="s">
        <v>45</v>
      </c>
      <c r="V135" s="14" t="s">
        <v>46</v>
      </c>
      <c r="W135" s="14" t="s">
        <v>47</v>
      </c>
      <c r="X135" s="15" t="s">
        <v>1198</v>
      </c>
      <c r="Y135" s="14" t="s">
        <v>329</v>
      </c>
      <c r="Z135" s="14" t="s">
        <v>50</v>
      </c>
    </row>
    <row r="136">
      <c r="A136" s="14" t="s">
        <v>1199</v>
      </c>
      <c r="B136" s="14" t="s">
        <v>952</v>
      </c>
      <c r="C136" s="14" t="s">
        <v>1174</v>
      </c>
      <c r="D136" s="14" t="s">
        <v>1175</v>
      </c>
      <c r="E136" s="14" t="s">
        <v>1176</v>
      </c>
      <c r="F136" s="14">
        <v>2024.0</v>
      </c>
      <c r="G136" s="14" t="s">
        <v>32</v>
      </c>
      <c r="H136" s="14" t="s">
        <v>33</v>
      </c>
      <c r="I136" s="14" t="s">
        <v>34</v>
      </c>
      <c r="J136" s="14" t="s">
        <v>35</v>
      </c>
      <c r="K136" s="15" t="s">
        <v>1200</v>
      </c>
      <c r="L136" s="14" t="s">
        <v>1201</v>
      </c>
      <c r="M136" s="14">
        <v>24.0</v>
      </c>
      <c r="N136" s="14" t="s">
        <v>1202</v>
      </c>
      <c r="O136" s="14" t="s">
        <v>1203</v>
      </c>
      <c r="P136" s="14" t="s">
        <v>1204</v>
      </c>
      <c r="Q136" s="14" t="s">
        <v>41</v>
      </c>
      <c r="R136" s="14" t="s">
        <v>78</v>
      </c>
      <c r="S136" s="14" t="s">
        <v>89</v>
      </c>
      <c r="T136" s="14" t="s">
        <v>90</v>
      </c>
      <c r="U136" s="14" t="s">
        <v>45</v>
      </c>
      <c r="V136" s="14" t="s">
        <v>1205</v>
      </c>
      <c r="W136" s="14" t="s">
        <v>47</v>
      </c>
      <c r="X136" s="15" t="s">
        <v>1206</v>
      </c>
      <c r="Y136" s="14" t="s">
        <v>329</v>
      </c>
      <c r="Z136" s="14" t="s">
        <v>50</v>
      </c>
    </row>
    <row r="137">
      <c r="A137" s="14" t="s">
        <v>1207</v>
      </c>
      <c r="B137" s="14" t="s">
        <v>952</v>
      </c>
      <c r="C137" s="14" t="s">
        <v>1174</v>
      </c>
      <c r="D137" s="14" t="s">
        <v>1175</v>
      </c>
      <c r="E137" s="14" t="s">
        <v>1176</v>
      </c>
      <c r="F137" s="14">
        <v>2024.0</v>
      </c>
      <c r="G137" s="14" t="s">
        <v>32</v>
      </c>
      <c r="H137" s="14" t="s">
        <v>33</v>
      </c>
      <c r="I137" s="14" t="s">
        <v>34</v>
      </c>
      <c r="J137" s="14" t="s">
        <v>35</v>
      </c>
      <c r="K137" s="15" t="s">
        <v>1208</v>
      </c>
      <c r="L137" s="14" t="s">
        <v>1209</v>
      </c>
      <c r="M137" s="14">
        <v>25.0</v>
      </c>
      <c r="N137" s="14" t="s">
        <v>1210</v>
      </c>
      <c r="O137" s="14" t="s">
        <v>1211</v>
      </c>
      <c r="P137" s="14" t="s">
        <v>1212</v>
      </c>
      <c r="Q137" s="14" t="s">
        <v>41</v>
      </c>
      <c r="R137" s="14" t="s">
        <v>1027</v>
      </c>
      <c r="S137" s="14" t="s">
        <v>1028</v>
      </c>
      <c r="T137" s="14" t="s">
        <v>198</v>
      </c>
      <c r="U137" s="14" t="s">
        <v>45</v>
      </c>
      <c r="V137" s="14" t="s">
        <v>1029</v>
      </c>
      <c r="W137" s="14" t="s">
        <v>47</v>
      </c>
      <c r="X137" s="15" t="s">
        <v>1213</v>
      </c>
      <c r="Y137" s="14" t="s">
        <v>329</v>
      </c>
      <c r="Z137" s="14" t="s">
        <v>50</v>
      </c>
    </row>
    <row r="138">
      <c r="A138" s="14" t="s">
        <v>1214</v>
      </c>
      <c r="B138" s="14" t="s">
        <v>386</v>
      </c>
      <c r="C138" s="14" t="s">
        <v>1215</v>
      </c>
      <c r="D138" s="14" t="s">
        <v>1216</v>
      </c>
      <c r="E138" s="14" t="s">
        <v>1217</v>
      </c>
      <c r="F138" s="14">
        <v>2024.0</v>
      </c>
      <c r="G138" s="14" t="s">
        <v>1218</v>
      </c>
      <c r="H138" s="14" t="s">
        <v>1132</v>
      </c>
      <c r="I138" s="14" t="s">
        <v>1133</v>
      </c>
      <c r="J138" s="14" t="s">
        <v>390</v>
      </c>
      <c r="K138" s="15" t="s">
        <v>1219</v>
      </c>
      <c r="L138" s="14" t="s">
        <v>1220</v>
      </c>
      <c r="M138" s="14">
        <v>24.0</v>
      </c>
      <c r="N138" s="14" t="s">
        <v>1221</v>
      </c>
      <c r="O138" s="14" t="s">
        <v>1222</v>
      </c>
      <c r="P138" s="14" t="s">
        <v>1223</v>
      </c>
      <c r="Q138" s="14" t="s">
        <v>41</v>
      </c>
      <c r="R138" s="14" t="s">
        <v>42</v>
      </c>
      <c r="S138" s="14" t="s">
        <v>153</v>
      </c>
      <c r="T138" s="14" t="s">
        <v>160</v>
      </c>
      <c r="U138" s="14" t="s">
        <v>45</v>
      </c>
      <c r="V138" s="14" t="s">
        <v>1224</v>
      </c>
      <c r="W138" s="14" t="s">
        <v>1079</v>
      </c>
      <c r="X138" s="15" t="s">
        <v>1225</v>
      </c>
      <c r="Y138" s="14" t="s">
        <v>329</v>
      </c>
      <c r="Z138" s="14" t="s">
        <v>50</v>
      </c>
    </row>
    <row r="139">
      <c r="A139" s="14" t="s">
        <v>1226</v>
      </c>
      <c r="B139" s="14" t="s">
        <v>386</v>
      </c>
      <c r="C139" s="14" t="s">
        <v>1215</v>
      </c>
      <c r="D139" s="14" t="s">
        <v>1216</v>
      </c>
      <c r="E139" s="14" t="s">
        <v>1217</v>
      </c>
      <c r="F139" s="14">
        <v>2024.0</v>
      </c>
      <c r="G139" s="14" t="s">
        <v>1218</v>
      </c>
      <c r="H139" s="14" t="s">
        <v>1132</v>
      </c>
      <c r="I139" s="14" t="s">
        <v>1133</v>
      </c>
      <c r="J139" s="14" t="s">
        <v>390</v>
      </c>
      <c r="K139" s="15" t="s">
        <v>1227</v>
      </c>
      <c r="L139" s="14" t="s">
        <v>1228</v>
      </c>
      <c r="M139" s="14">
        <v>28.0</v>
      </c>
      <c r="N139" s="14" t="s">
        <v>1229</v>
      </c>
      <c r="O139" s="14" t="s">
        <v>1230</v>
      </c>
      <c r="P139" s="14" t="s">
        <v>1231</v>
      </c>
      <c r="Q139" s="14" t="s">
        <v>41</v>
      </c>
      <c r="R139" s="14" t="s">
        <v>42</v>
      </c>
      <c r="S139" s="14" t="s">
        <v>266</v>
      </c>
      <c r="T139" s="14" t="s">
        <v>504</v>
      </c>
      <c r="U139" s="14" t="s">
        <v>45</v>
      </c>
      <c r="V139" s="14" t="s">
        <v>1232</v>
      </c>
      <c r="W139" s="14" t="s">
        <v>1079</v>
      </c>
      <c r="X139" s="15" t="s">
        <v>1233</v>
      </c>
      <c r="Y139" s="14" t="s">
        <v>329</v>
      </c>
      <c r="Z139" s="14" t="s">
        <v>50</v>
      </c>
    </row>
    <row r="140">
      <c r="A140" s="14" t="s">
        <v>1234</v>
      </c>
      <c r="B140" s="14" t="s">
        <v>386</v>
      </c>
      <c r="C140" s="14" t="s">
        <v>1215</v>
      </c>
      <c r="D140" s="14" t="s">
        <v>1216</v>
      </c>
      <c r="E140" s="14" t="s">
        <v>1217</v>
      </c>
      <c r="F140" s="14">
        <v>2024.0</v>
      </c>
      <c r="G140" s="14" t="s">
        <v>1218</v>
      </c>
      <c r="H140" s="14" t="s">
        <v>1132</v>
      </c>
      <c r="I140" s="14" t="s">
        <v>1133</v>
      </c>
      <c r="J140" s="14" t="s">
        <v>390</v>
      </c>
      <c r="K140" s="15" t="s">
        <v>1235</v>
      </c>
      <c r="L140" s="14" t="s">
        <v>1236</v>
      </c>
      <c r="M140" s="14">
        <v>24.0</v>
      </c>
      <c r="N140" s="14" t="s">
        <v>1237</v>
      </c>
      <c r="O140" s="14" t="s">
        <v>1238</v>
      </c>
      <c r="P140" s="14" t="s">
        <v>1239</v>
      </c>
      <c r="Q140" s="14" t="s">
        <v>41</v>
      </c>
      <c r="R140" s="14" t="s">
        <v>78</v>
      </c>
      <c r="S140" s="14" t="s">
        <v>79</v>
      </c>
      <c r="T140" s="14" t="s">
        <v>44</v>
      </c>
      <c r="U140" s="14" t="s">
        <v>45</v>
      </c>
      <c r="V140" s="14" t="s">
        <v>1240</v>
      </c>
      <c r="W140" s="14" t="s">
        <v>1079</v>
      </c>
      <c r="X140" s="15" t="s">
        <v>1241</v>
      </c>
      <c r="Y140" s="14" t="s">
        <v>329</v>
      </c>
      <c r="Z140" s="14" t="s">
        <v>50</v>
      </c>
    </row>
    <row r="141">
      <c r="A141" s="14" t="s">
        <v>1242</v>
      </c>
      <c r="B141" s="14" t="s">
        <v>386</v>
      </c>
      <c r="C141" s="14" t="s">
        <v>1243</v>
      </c>
      <c r="D141" s="14" t="s">
        <v>1244</v>
      </c>
      <c r="E141" s="14" t="s">
        <v>1245</v>
      </c>
      <c r="F141" s="14">
        <v>2024.0</v>
      </c>
      <c r="G141" s="14" t="s">
        <v>1131</v>
      </c>
      <c r="H141" s="14" t="s">
        <v>1132</v>
      </c>
      <c r="I141" s="14" t="s">
        <v>1133</v>
      </c>
      <c r="J141" s="14" t="s">
        <v>390</v>
      </c>
      <c r="K141" s="15" t="s">
        <v>1246</v>
      </c>
      <c r="L141" s="14" t="s">
        <v>1247</v>
      </c>
      <c r="M141" s="14">
        <v>34.0</v>
      </c>
      <c r="N141" s="14" t="s">
        <v>1248</v>
      </c>
      <c r="O141" s="14" t="s">
        <v>1249</v>
      </c>
      <c r="P141" s="14" t="s">
        <v>1250</v>
      </c>
      <c r="Q141" s="14" t="s">
        <v>41</v>
      </c>
      <c r="R141" s="14" t="s">
        <v>78</v>
      </c>
      <c r="S141" s="14" t="s">
        <v>79</v>
      </c>
      <c r="T141" s="14" t="s">
        <v>44</v>
      </c>
      <c r="U141" s="14" t="s">
        <v>45</v>
      </c>
      <c r="V141" s="14" t="s">
        <v>1251</v>
      </c>
      <c r="W141" s="14" t="s">
        <v>47</v>
      </c>
      <c r="X141" s="15" t="s">
        <v>1252</v>
      </c>
      <c r="Y141" s="14" t="s">
        <v>329</v>
      </c>
      <c r="Z141" s="14" t="s">
        <v>50</v>
      </c>
    </row>
    <row r="142">
      <c r="A142" s="14" t="s">
        <v>1253</v>
      </c>
      <c r="B142" s="14" t="s">
        <v>386</v>
      </c>
      <c r="C142" s="14" t="s">
        <v>1243</v>
      </c>
      <c r="D142" s="14" t="s">
        <v>1244</v>
      </c>
      <c r="E142" s="14" t="s">
        <v>1245</v>
      </c>
      <c r="F142" s="14">
        <v>2024.0</v>
      </c>
      <c r="G142" s="14" t="s">
        <v>1131</v>
      </c>
      <c r="H142" s="14" t="s">
        <v>1132</v>
      </c>
      <c r="I142" s="14" t="s">
        <v>1133</v>
      </c>
      <c r="J142" s="14" t="s">
        <v>390</v>
      </c>
      <c r="K142" s="15" t="s">
        <v>1254</v>
      </c>
      <c r="L142" s="14" t="s">
        <v>1255</v>
      </c>
      <c r="M142" s="14">
        <v>24.0</v>
      </c>
      <c r="N142" s="14" t="s">
        <v>1256</v>
      </c>
      <c r="O142" s="14" t="s">
        <v>1257</v>
      </c>
      <c r="P142" s="14" t="s">
        <v>1258</v>
      </c>
      <c r="Q142" s="14" t="s">
        <v>41</v>
      </c>
      <c r="R142" s="14" t="s">
        <v>404</v>
      </c>
      <c r="S142" s="14" t="s">
        <v>1099</v>
      </c>
      <c r="T142" s="14" t="s">
        <v>104</v>
      </c>
      <c r="U142" s="14" t="s">
        <v>45</v>
      </c>
      <c r="V142" s="14" t="s">
        <v>46</v>
      </c>
      <c r="W142" s="14" t="s">
        <v>47</v>
      </c>
      <c r="X142" s="15" t="s">
        <v>1259</v>
      </c>
      <c r="Y142" s="14" t="s">
        <v>329</v>
      </c>
      <c r="Z142" s="14" t="s">
        <v>50</v>
      </c>
    </row>
    <row r="143">
      <c r="A143" s="14" t="s">
        <v>1260</v>
      </c>
      <c r="B143" s="14" t="s">
        <v>386</v>
      </c>
      <c r="C143" s="14" t="s">
        <v>1243</v>
      </c>
      <c r="D143" s="14" t="s">
        <v>1244</v>
      </c>
      <c r="E143" s="14" t="s">
        <v>1245</v>
      </c>
      <c r="F143" s="14">
        <v>2024.0</v>
      </c>
      <c r="G143" s="14" t="s">
        <v>1131</v>
      </c>
      <c r="H143" s="14" t="s">
        <v>1132</v>
      </c>
      <c r="I143" s="14" t="s">
        <v>1133</v>
      </c>
      <c r="J143" s="14" t="s">
        <v>390</v>
      </c>
      <c r="K143" s="15" t="s">
        <v>1261</v>
      </c>
      <c r="L143" s="14" t="s">
        <v>1262</v>
      </c>
      <c r="M143" s="14">
        <v>28.0</v>
      </c>
      <c r="N143" s="14" t="s">
        <v>1263</v>
      </c>
      <c r="O143" s="14" t="s">
        <v>1264</v>
      </c>
      <c r="P143" s="14" t="s">
        <v>1265</v>
      </c>
      <c r="Q143" s="14" t="s">
        <v>41</v>
      </c>
      <c r="R143" s="14" t="s">
        <v>404</v>
      </c>
      <c r="S143" s="14" t="s">
        <v>360</v>
      </c>
      <c r="T143" s="14" t="s">
        <v>44</v>
      </c>
      <c r="U143" s="14" t="s">
        <v>45</v>
      </c>
      <c r="V143" s="14" t="s">
        <v>1266</v>
      </c>
      <c r="W143" s="14" t="s">
        <v>47</v>
      </c>
      <c r="X143" s="15" t="s">
        <v>1267</v>
      </c>
      <c r="Y143" s="14" t="s">
        <v>329</v>
      </c>
      <c r="Z143" s="14" t="s">
        <v>50</v>
      </c>
    </row>
    <row r="144">
      <c r="A144" s="14" t="s">
        <v>1268</v>
      </c>
      <c r="B144" s="14" t="s">
        <v>386</v>
      </c>
      <c r="C144" s="14" t="s">
        <v>1243</v>
      </c>
      <c r="D144" s="14" t="s">
        <v>1244</v>
      </c>
      <c r="E144" s="14" t="s">
        <v>1245</v>
      </c>
      <c r="F144" s="14">
        <v>2024.0</v>
      </c>
      <c r="G144" s="14" t="s">
        <v>1131</v>
      </c>
      <c r="H144" s="14" t="s">
        <v>1132</v>
      </c>
      <c r="I144" s="14" t="s">
        <v>1133</v>
      </c>
      <c r="J144" s="14" t="s">
        <v>390</v>
      </c>
      <c r="K144" s="15" t="s">
        <v>1269</v>
      </c>
      <c r="L144" s="14" t="s">
        <v>1270</v>
      </c>
      <c r="M144" s="14">
        <v>25.0</v>
      </c>
      <c r="N144" s="14" t="s">
        <v>1271</v>
      </c>
      <c r="O144" s="14" t="s">
        <v>1272</v>
      </c>
      <c r="P144" s="14" t="s">
        <v>1273</v>
      </c>
      <c r="Q144" s="14" t="s">
        <v>41</v>
      </c>
      <c r="R144" s="14" t="s">
        <v>404</v>
      </c>
      <c r="S144" s="14" t="s">
        <v>846</v>
      </c>
      <c r="T144" s="14" t="s">
        <v>198</v>
      </c>
      <c r="U144" s="14" t="s">
        <v>45</v>
      </c>
      <c r="V144" s="14" t="s">
        <v>1274</v>
      </c>
      <c r="W144" s="14" t="s">
        <v>47</v>
      </c>
      <c r="X144" s="15" t="s">
        <v>1275</v>
      </c>
      <c r="Y144" s="14" t="s">
        <v>329</v>
      </c>
      <c r="Z144" s="14" t="s">
        <v>50</v>
      </c>
    </row>
    <row r="145">
      <c r="A145" s="14" t="s">
        <v>1276</v>
      </c>
      <c r="B145" s="14" t="s">
        <v>386</v>
      </c>
      <c r="C145" s="14" t="s">
        <v>1243</v>
      </c>
      <c r="D145" s="14" t="s">
        <v>1244</v>
      </c>
      <c r="E145" s="14" t="s">
        <v>1245</v>
      </c>
      <c r="F145" s="14">
        <v>2024.0</v>
      </c>
      <c r="G145" s="14" t="s">
        <v>1131</v>
      </c>
      <c r="H145" s="14" t="s">
        <v>1132</v>
      </c>
      <c r="I145" s="14" t="s">
        <v>1133</v>
      </c>
      <c r="J145" s="14" t="s">
        <v>390</v>
      </c>
      <c r="K145" s="15" t="s">
        <v>1277</v>
      </c>
      <c r="L145" s="14" t="s">
        <v>1278</v>
      </c>
      <c r="M145" s="14">
        <v>26.0</v>
      </c>
      <c r="N145" s="14" t="s">
        <v>1279</v>
      </c>
      <c r="O145" s="14" t="s">
        <v>1280</v>
      </c>
      <c r="P145" s="14" t="s">
        <v>1281</v>
      </c>
      <c r="Q145" s="14" t="s">
        <v>41</v>
      </c>
      <c r="R145" s="14" t="s">
        <v>404</v>
      </c>
      <c r="S145" s="14" t="s">
        <v>1124</v>
      </c>
      <c r="T145" s="14" t="s">
        <v>104</v>
      </c>
      <c r="U145" s="14" t="s">
        <v>45</v>
      </c>
      <c r="V145" s="14" t="s">
        <v>1282</v>
      </c>
      <c r="W145" s="14" t="s">
        <v>47</v>
      </c>
      <c r="X145" s="15" t="s">
        <v>1283</v>
      </c>
      <c r="Y145" s="14" t="s">
        <v>329</v>
      </c>
      <c r="Z145" s="14" t="s">
        <v>50</v>
      </c>
    </row>
    <row r="146">
      <c r="A146" s="14" t="s">
        <v>1284</v>
      </c>
      <c r="B146" s="14" t="s">
        <v>386</v>
      </c>
      <c r="C146" s="14" t="s">
        <v>1243</v>
      </c>
      <c r="D146" s="14" t="s">
        <v>1244</v>
      </c>
      <c r="E146" s="14" t="s">
        <v>1245</v>
      </c>
      <c r="F146" s="14">
        <v>2024.0</v>
      </c>
      <c r="G146" s="14" t="s">
        <v>1131</v>
      </c>
      <c r="H146" s="14" t="s">
        <v>1132</v>
      </c>
      <c r="I146" s="14" t="s">
        <v>1133</v>
      </c>
      <c r="J146" s="14" t="s">
        <v>390</v>
      </c>
      <c r="K146" s="15" t="s">
        <v>1285</v>
      </c>
      <c r="L146" s="14" t="s">
        <v>1286</v>
      </c>
      <c r="M146" s="14">
        <v>26.0</v>
      </c>
      <c r="N146" s="14" t="s">
        <v>1287</v>
      </c>
      <c r="O146" s="14" t="s">
        <v>1288</v>
      </c>
      <c r="P146" s="14" t="s">
        <v>1289</v>
      </c>
      <c r="Q146" s="14" t="s">
        <v>41</v>
      </c>
      <c r="R146" s="14" t="s">
        <v>78</v>
      </c>
      <c r="S146" s="14" t="s">
        <v>79</v>
      </c>
      <c r="T146" s="14" t="s">
        <v>198</v>
      </c>
      <c r="U146" s="14" t="s">
        <v>45</v>
      </c>
      <c r="V146" s="14" t="s">
        <v>46</v>
      </c>
      <c r="W146" s="14" t="s">
        <v>47</v>
      </c>
      <c r="X146" s="15" t="s">
        <v>1290</v>
      </c>
      <c r="Y146" s="14" t="s">
        <v>329</v>
      </c>
      <c r="Z146" s="14" t="s">
        <v>50</v>
      </c>
    </row>
    <row r="147">
      <c r="A147" s="14" t="s">
        <v>1291</v>
      </c>
      <c r="B147" s="14" t="s">
        <v>1040</v>
      </c>
      <c r="C147" s="14" t="s">
        <v>1292</v>
      </c>
      <c r="D147" s="14" t="s">
        <v>1293</v>
      </c>
      <c r="E147" s="14" t="s">
        <v>1294</v>
      </c>
      <c r="F147" s="14">
        <v>2024.0</v>
      </c>
      <c r="G147" s="14" t="s">
        <v>32</v>
      </c>
      <c r="H147" s="14" t="s">
        <v>33</v>
      </c>
      <c r="I147" s="14" t="s">
        <v>34</v>
      </c>
      <c r="J147" s="14" t="s">
        <v>35</v>
      </c>
      <c r="K147" s="15" t="s">
        <v>1295</v>
      </c>
      <c r="L147" s="14" t="s">
        <v>1296</v>
      </c>
      <c r="M147" s="14">
        <v>22.0</v>
      </c>
      <c r="N147" s="14" t="s">
        <v>1297</v>
      </c>
      <c r="O147" s="14" t="s">
        <v>1298</v>
      </c>
      <c r="P147" s="14" t="s">
        <v>1299</v>
      </c>
      <c r="Q147" s="14" t="s">
        <v>41</v>
      </c>
      <c r="R147" s="14" t="s">
        <v>42</v>
      </c>
      <c r="S147" s="14" t="s">
        <v>153</v>
      </c>
      <c r="T147" s="14" t="s">
        <v>58</v>
      </c>
      <c r="U147" s="14" t="s">
        <v>45</v>
      </c>
      <c r="V147" s="14" t="s">
        <v>1300</v>
      </c>
      <c r="W147" s="14" t="s">
        <v>47</v>
      </c>
      <c r="X147" s="15" t="s">
        <v>1301</v>
      </c>
      <c r="Y147" s="14" t="s">
        <v>329</v>
      </c>
      <c r="Z147" s="14" t="s">
        <v>50</v>
      </c>
    </row>
    <row r="148">
      <c r="A148" s="14" t="s">
        <v>1302</v>
      </c>
      <c r="B148" s="14" t="s">
        <v>1040</v>
      </c>
      <c r="C148" s="14" t="s">
        <v>1292</v>
      </c>
      <c r="D148" s="14" t="s">
        <v>1293</v>
      </c>
      <c r="E148" s="14" t="s">
        <v>1294</v>
      </c>
      <c r="F148" s="14">
        <v>2024.0</v>
      </c>
      <c r="G148" s="14" t="s">
        <v>32</v>
      </c>
      <c r="H148" s="14" t="s">
        <v>33</v>
      </c>
      <c r="I148" s="14" t="s">
        <v>34</v>
      </c>
      <c r="J148" s="14" t="s">
        <v>35</v>
      </c>
      <c r="K148" s="15" t="s">
        <v>1303</v>
      </c>
      <c r="L148" s="14" t="s">
        <v>1304</v>
      </c>
      <c r="M148" s="14">
        <v>19.0</v>
      </c>
      <c r="N148" s="14" t="s">
        <v>1305</v>
      </c>
      <c r="O148" s="14" t="s">
        <v>1306</v>
      </c>
      <c r="P148" s="14" t="s">
        <v>1307</v>
      </c>
      <c r="Q148" s="14" t="s">
        <v>41</v>
      </c>
      <c r="R148" s="14" t="s">
        <v>42</v>
      </c>
      <c r="S148" s="14" t="s">
        <v>43</v>
      </c>
      <c r="T148" s="14" t="s">
        <v>160</v>
      </c>
      <c r="U148" s="14" t="s">
        <v>45</v>
      </c>
      <c r="V148" s="14" t="s">
        <v>1308</v>
      </c>
      <c r="W148" s="14" t="s">
        <v>47</v>
      </c>
      <c r="X148" s="15" t="s">
        <v>1309</v>
      </c>
      <c r="Y148" s="14" t="s">
        <v>329</v>
      </c>
      <c r="Z148" s="14" t="s">
        <v>50</v>
      </c>
    </row>
    <row r="149">
      <c r="A149" s="14" t="s">
        <v>1310</v>
      </c>
      <c r="B149" s="14" t="s">
        <v>1040</v>
      </c>
      <c r="C149" s="14" t="s">
        <v>1292</v>
      </c>
      <c r="D149" s="14" t="s">
        <v>1293</v>
      </c>
      <c r="E149" s="14" t="s">
        <v>1294</v>
      </c>
      <c r="F149" s="14">
        <v>2024.0</v>
      </c>
      <c r="G149" s="14" t="s">
        <v>32</v>
      </c>
      <c r="H149" s="14" t="s">
        <v>33</v>
      </c>
      <c r="I149" s="14" t="s">
        <v>34</v>
      </c>
      <c r="J149" s="14" t="s">
        <v>35</v>
      </c>
      <c r="K149" s="15" t="s">
        <v>1311</v>
      </c>
      <c r="L149" s="14" t="s">
        <v>1312</v>
      </c>
      <c r="M149" s="14">
        <v>24.0</v>
      </c>
      <c r="N149" s="14" t="s">
        <v>1313</v>
      </c>
      <c r="O149" s="14" t="s">
        <v>1314</v>
      </c>
      <c r="P149" s="14" t="s">
        <v>1315</v>
      </c>
      <c r="Q149" s="14" t="s">
        <v>41</v>
      </c>
      <c r="R149" s="14" t="s">
        <v>404</v>
      </c>
      <c r="S149" s="14" t="s">
        <v>462</v>
      </c>
      <c r="T149" s="14" t="s">
        <v>104</v>
      </c>
      <c r="U149" s="14" t="s">
        <v>45</v>
      </c>
      <c r="V149" s="14" t="s">
        <v>1316</v>
      </c>
      <c r="W149" s="14" t="s">
        <v>47</v>
      </c>
      <c r="X149" s="15" t="s">
        <v>1317</v>
      </c>
      <c r="Y149" s="14" t="s">
        <v>329</v>
      </c>
      <c r="Z149" s="14" t="s">
        <v>50</v>
      </c>
    </row>
    <row r="150">
      <c r="A150" s="14" t="s">
        <v>1318</v>
      </c>
      <c r="B150" s="14" t="s">
        <v>1040</v>
      </c>
      <c r="C150" s="14" t="s">
        <v>1292</v>
      </c>
      <c r="D150" s="14" t="s">
        <v>1293</v>
      </c>
      <c r="E150" s="14" t="s">
        <v>1294</v>
      </c>
      <c r="F150" s="14">
        <v>2024.0</v>
      </c>
      <c r="G150" s="14" t="s">
        <v>32</v>
      </c>
      <c r="H150" s="14" t="s">
        <v>33</v>
      </c>
      <c r="I150" s="14" t="s">
        <v>34</v>
      </c>
      <c r="J150" s="14" t="s">
        <v>35</v>
      </c>
      <c r="K150" s="15" t="s">
        <v>1319</v>
      </c>
      <c r="L150" s="14" t="s">
        <v>1320</v>
      </c>
      <c r="M150" s="14">
        <v>23.0</v>
      </c>
      <c r="N150" s="14" t="s">
        <v>1321</v>
      </c>
      <c r="O150" s="14" t="s">
        <v>1322</v>
      </c>
      <c r="P150" s="14" t="s">
        <v>1323</v>
      </c>
      <c r="Q150" s="14" t="s">
        <v>41</v>
      </c>
      <c r="R150" s="14" t="s">
        <v>404</v>
      </c>
      <c r="S150" s="14" t="s">
        <v>405</v>
      </c>
      <c r="T150" s="14" t="s">
        <v>178</v>
      </c>
      <c r="U150" s="14" t="s">
        <v>45</v>
      </c>
      <c r="V150" s="14" t="s">
        <v>1324</v>
      </c>
      <c r="W150" s="14" t="s">
        <v>47</v>
      </c>
      <c r="X150" s="15" t="s">
        <v>1325</v>
      </c>
      <c r="Y150" s="14" t="s">
        <v>329</v>
      </c>
      <c r="Z150" s="14" t="s">
        <v>50</v>
      </c>
    </row>
    <row r="151">
      <c r="A151" s="14" t="s">
        <v>1326</v>
      </c>
      <c r="B151" s="14" t="s">
        <v>1040</v>
      </c>
      <c r="C151" s="14" t="s">
        <v>1292</v>
      </c>
      <c r="D151" s="14" t="s">
        <v>1293</v>
      </c>
      <c r="E151" s="14" t="s">
        <v>1294</v>
      </c>
      <c r="F151" s="14">
        <v>2024.0</v>
      </c>
      <c r="G151" s="14" t="s">
        <v>32</v>
      </c>
      <c r="H151" s="14" t="s">
        <v>33</v>
      </c>
      <c r="I151" s="14" t="s">
        <v>34</v>
      </c>
      <c r="J151" s="14" t="s">
        <v>35</v>
      </c>
      <c r="K151" s="15" t="s">
        <v>1327</v>
      </c>
      <c r="L151" s="14" t="s">
        <v>1328</v>
      </c>
      <c r="M151" s="14">
        <v>29.0</v>
      </c>
      <c r="N151" s="14" t="s">
        <v>1329</v>
      </c>
      <c r="O151" s="14" t="s">
        <v>1330</v>
      </c>
      <c r="P151" s="14" t="s">
        <v>1331</v>
      </c>
      <c r="Q151" s="14" t="s">
        <v>41</v>
      </c>
      <c r="R151" s="14" t="s">
        <v>78</v>
      </c>
      <c r="S151" s="14" t="s">
        <v>79</v>
      </c>
      <c r="T151" s="14" t="s">
        <v>44</v>
      </c>
      <c r="U151" s="14" t="s">
        <v>45</v>
      </c>
      <c r="V151" s="14" t="s">
        <v>1332</v>
      </c>
      <c r="W151" s="14" t="s">
        <v>47</v>
      </c>
      <c r="X151" s="15" t="s">
        <v>1333</v>
      </c>
      <c r="Y151" s="14" t="s">
        <v>329</v>
      </c>
      <c r="Z151" s="14" t="s">
        <v>50</v>
      </c>
    </row>
    <row r="152">
      <c r="A152" s="14" t="s">
        <v>1334</v>
      </c>
      <c r="B152" s="14" t="s">
        <v>1040</v>
      </c>
      <c r="C152" s="14" t="s">
        <v>1041</v>
      </c>
      <c r="D152" s="14" t="s">
        <v>1335</v>
      </c>
      <c r="E152" s="14" t="s">
        <v>1336</v>
      </c>
      <c r="F152" s="14">
        <v>2025.0</v>
      </c>
      <c r="G152" s="14" t="s">
        <v>32</v>
      </c>
      <c r="H152" s="14" t="s">
        <v>33</v>
      </c>
      <c r="I152" s="14" t="s">
        <v>34</v>
      </c>
      <c r="J152" s="14" t="s">
        <v>35</v>
      </c>
      <c r="K152" s="15" t="s">
        <v>1337</v>
      </c>
      <c r="L152" s="14" t="s">
        <v>1338</v>
      </c>
      <c r="M152" s="14">
        <v>28.0</v>
      </c>
      <c r="N152" s="14" t="s">
        <v>1339</v>
      </c>
      <c r="O152" s="14" t="s">
        <v>1340</v>
      </c>
      <c r="P152" s="14" t="s">
        <v>1341</v>
      </c>
      <c r="Q152" s="14" t="s">
        <v>41</v>
      </c>
      <c r="R152" s="14" t="s">
        <v>404</v>
      </c>
      <c r="S152" s="14" t="s">
        <v>1099</v>
      </c>
      <c r="T152" s="14" t="s">
        <v>198</v>
      </c>
      <c r="U152" s="14" t="s">
        <v>45</v>
      </c>
      <c r="V152" s="14" t="s">
        <v>46</v>
      </c>
      <c r="W152" s="14" t="s">
        <v>47</v>
      </c>
      <c r="X152" s="15" t="s">
        <v>1342</v>
      </c>
      <c r="Y152" s="14" t="s">
        <v>329</v>
      </c>
      <c r="Z152" s="14" t="s">
        <v>50</v>
      </c>
    </row>
    <row r="153">
      <c r="A153" s="14" t="s">
        <v>1343</v>
      </c>
      <c r="B153" s="14" t="s">
        <v>1040</v>
      </c>
      <c r="C153" s="14" t="s">
        <v>1041</v>
      </c>
      <c r="D153" s="14" t="s">
        <v>1335</v>
      </c>
      <c r="E153" s="14" t="s">
        <v>1336</v>
      </c>
      <c r="F153" s="14">
        <v>2025.0</v>
      </c>
      <c r="G153" s="14" t="s">
        <v>32</v>
      </c>
      <c r="H153" s="14" t="s">
        <v>33</v>
      </c>
      <c r="I153" s="14" t="s">
        <v>34</v>
      </c>
      <c r="J153" s="14" t="s">
        <v>35</v>
      </c>
      <c r="K153" s="15" t="s">
        <v>1344</v>
      </c>
      <c r="L153" s="14" t="s">
        <v>1338</v>
      </c>
      <c r="M153" s="14">
        <v>26.0</v>
      </c>
      <c r="N153" s="14" t="s">
        <v>1345</v>
      </c>
      <c r="O153" s="14" t="s">
        <v>1346</v>
      </c>
      <c r="P153" s="14" t="s">
        <v>1347</v>
      </c>
      <c r="Q153" s="14" t="s">
        <v>41</v>
      </c>
      <c r="R153" s="14" t="s">
        <v>56</v>
      </c>
      <c r="S153" s="14" t="s">
        <v>57</v>
      </c>
      <c r="T153" s="14" t="s">
        <v>58</v>
      </c>
      <c r="U153" s="14" t="s">
        <v>45</v>
      </c>
      <c r="V153" s="14" t="s">
        <v>1348</v>
      </c>
      <c r="W153" s="14" t="s">
        <v>47</v>
      </c>
      <c r="X153" s="15" t="s">
        <v>1349</v>
      </c>
      <c r="Y153" s="14" t="s">
        <v>329</v>
      </c>
      <c r="Z153" s="14" t="s">
        <v>50</v>
      </c>
    </row>
    <row r="154">
      <c r="A154" s="14" t="s">
        <v>1350</v>
      </c>
      <c r="B154" s="14" t="s">
        <v>1040</v>
      </c>
      <c r="C154" s="14" t="s">
        <v>1041</v>
      </c>
      <c r="D154" s="14" t="s">
        <v>1335</v>
      </c>
      <c r="E154" s="14" t="s">
        <v>1336</v>
      </c>
      <c r="F154" s="14">
        <v>2025.0</v>
      </c>
      <c r="G154" s="14" t="s">
        <v>32</v>
      </c>
      <c r="H154" s="14" t="s">
        <v>33</v>
      </c>
      <c r="I154" s="14" t="s">
        <v>34</v>
      </c>
      <c r="J154" s="14" t="s">
        <v>35</v>
      </c>
      <c r="K154" s="15" t="s">
        <v>1351</v>
      </c>
      <c r="L154" s="14" t="s">
        <v>1352</v>
      </c>
      <c r="M154" s="14">
        <v>32.0</v>
      </c>
      <c r="N154" s="14" t="s">
        <v>1353</v>
      </c>
      <c r="O154" s="14" t="s">
        <v>1354</v>
      </c>
      <c r="P154" s="14" t="s">
        <v>1355</v>
      </c>
      <c r="Q154" s="14" t="s">
        <v>41</v>
      </c>
      <c r="R154" s="14" t="s">
        <v>1027</v>
      </c>
      <c r="S154" s="14" t="s">
        <v>1028</v>
      </c>
      <c r="T154" s="14" t="s">
        <v>198</v>
      </c>
      <c r="U154" s="14" t="s">
        <v>45</v>
      </c>
      <c r="V154" s="14" t="s">
        <v>1356</v>
      </c>
      <c r="W154" s="14" t="s">
        <v>47</v>
      </c>
      <c r="X154" s="15" t="s">
        <v>1357</v>
      </c>
      <c r="Y154" s="14" t="s">
        <v>329</v>
      </c>
      <c r="Z154" s="14" t="s">
        <v>50</v>
      </c>
    </row>
    <row r="155">
      <c r="A155" s="14" t="s">
        <v>1358</v>
      </c>
      <c r="B155" s="14" t="s">
        <v>1040</v>
      </c>
      <c r="C155" s="14" t="s">
        <v>1041</v>
      </c>
      <c r="D155" s="14" t="s">
        <v>1335</v>
      </c>
      <c r="E155" s="14" t="s">
        <v>1336</v>
      </c>
      <c r="F155" s="14">
        <v>2025.0</v>
      </c>
      <c r="G155" s="14" t="s">
        <v>32</v>
      </c>
      <c r="H155" s="14" t="s">
        <v>33</v>
      </c>
      <c r="I155" s="14" t="s">
        <v>34</v>
      </c>
      <c r="J155" s="14" t="s">
        <v>35</v>
      </c>
      <c r="K155" s="15" t="s">
        <v>1359</v>
      </c>
      <c r="L155" s="14" t="s">
        <v>1360</v>
      </c>
      <c r="M155" s="14">
        <v>31.0</v>
      </c>
      <c r="N155" s="14" t="s">
        <v>1361</v>
      </c>
      <c r="O155" s="14" t="s">
        <v>1362</v>
      </c>
      <c r="P155" s="14" t="s">
        <v>1363</v>
      </c>
      <c r="Q155" s="14" t="s">
        <v>41</v>
      </c>
      <c r="R155" s="14" t="s">
        <v>404</v>
      </c>
      <c r="S155" s="14" t="s">
        <v>1124</v>
      </c>
      <c r="T155" s="14" t="s">
        <v>104</v>
      </c>
      <c r="U155" s="14" t="s">
        <v>45</v>
      </c>
      <c r="V155" s="14" t="s">
        <v>1364</v>
      </c>
      <c r="W155" s="14" t="s">
        <v>47</v>
      </c>
      <c r="X155" s="15" t="s">
        <v>1365</v>
      </c>
      <c r="Y155" s="14" t="s">
        <v>329</v>
      </c>
      <c r="Z155" s="14" t="s">
        <v>50</v>
      </c>
    </row>
    <row r="156">
      <c r="A156" s="14" t="s">
        <v>1366</v>
      </c>
      <c r="B156" s="14" t="s">
        <v>1040</v>
      </c>
      <c r="C156" s="14" t="s">
        <v>1041</v>
      </c>
      <c r="D156" s="14" t="s">
        <v>1335</v>
      </c>
      <c r="E156" s="14" t="s">
        <v>1336</v>
      </c>
      <c r="F156" s="14">
        <v>2025.0</v>
      </c>
      <c r="G156" s="14" t="s">
        <v>32</v>
      </c>
      <c r="H156" s="14" t="s">
        <v>33</v>
      </c>
      <c r="I156" s="14" t="s">
        <v>34</v>
      </c>
      <c r="J156" s="14" t="s">
        <v>35</v>
      </c>
      <c r="K156" s="15" t="s">
        <v>1367</v>
      </c>
      <c r="L156" s="14" t="s">
        <v>1368</v>
      </c>
      <c r="M156" s="14">
        <v>24.0</v>
      </c>
      <c r="N156" s="14" t="s">
        <v>1369</v>
      </c>
      <c r="O156" s="14" t="s">
        <v>1370</v>
      </c>
      <c r="P156" s="14" t="s">
        <v>1371</v>
      </c>
      <c r="Q156" s="14" t="s">
        <v>41</v>
      </c>
      <c r="R156" s="14" t="s">
        <v>78</v>
      </c>
      <c r="S156" s="14" t="s">
        <v>79</v>
      </c>
      <c r="T156" s="14" t="s">
        <v>198</v>
      </c>
      <c r="U156" s="14" t="s">
        <v>45</v>
      </c>
      <c r="V156" s="14" t="s">
        <v>46</v>
      </c>
      <c r="W156" s="14" t="s">
        <v>47</v>
      </c>
      <c r="X156" s="15" t="s">
        <v>1372</v>
      </c>
      <c r="Y156" s="14" t="s">
        <v>329</v>
      </c>
      <c r="Z156" s="14" t="s">
        <v>70</v>
      </c>
      <c r="AA156" s="16" t="s">
        <v>1373</v>
      </c>
    </row>
    <row r="157">
      <c r="A157" s="14" t="s">
        <v>1374</v>
      </c>
      <c r="B157" s="14" t="s">
        <v>1040</v>
      </c>
      <c r="C157" s="14" t="s">
        <v>1375</v>
      </c>
      <c r="D157" s="14" t="s">
        <v>1376</v>
      </c>
      <c r="E157" s="14" t="s">
        <v>1377</v>
      </c>
      <c r="F157" s="14">
        <v>2025.0</v>
      </c>
      <c r="G157" s="14" t="s">
        <v>32</v>
      </c>
      <c r="H157" s="14" t="s">
        <v>33</v>
      </c>
      <c r="I157" s="14" t="s">
        <v>34</v>
      </c>
      <c r="J157" s="14" t="s">
        <v>35</v>
      </c>
      <c r="K157" s="15" t="s">
        <v>1378</v>
      </c>
      <c r="L157" s="14" t="s">
        <v>1379</v>
      </c>
      <c r="M157" s="14">
        <v>31.0</v>
      </c>
      <c r="N157" s="14" t="s">
        <v>1380</v>
      </c>
      <c r="O157" s="14" t="s">
        <v>1381</v>
      </c>
      <c r="P157" s="14" t="s">
        <v>1382</v>
      </c>
      <c r="Q157" s="14" t="s">
        <v>41</v>
      </c>
      <c r="R157" s="14" t="s">
        <v>42</v>
      </c>
      <c r="S157" s="14" t="s">
        <v>522</v>
      </c>
      <c r="T157" s="14" t="s">
        <v>44</v>
      </c>
      <c r="U157" s="14" t="s">
        <v>45</v>
      </c>
      <c r="V157" s="14" t="s">
        <v>1383</v>
      </c>
      <c r="W157" s="14" t="s">
        <v>47</v>
      </c>
      <c r="X157" s="15" t="s">
        <v>1384</v>
      </c>
      <c r="Y157" s="14" t="s">
        <v>329</v>
      </c>
      <c r="Z157" s="14" t="s">
        <v>50</v>
      </c>
    </row>
    <row r="158">
      <c r="A158" s="14" t="s">
        <v>1385</v>
      </c>
      <c r="B158" s="14" t="s">
        <v>1040</v>
      </c>
      <c r="C158" s="14" t="s">
        <v>1375</v>
      </c>
      <c r="D158" s="14" t="s">
        <v>1386</v>
      </c>
      <c r="E158" s="14" t="s">
        <v>1387</v>
      </c>
      <c r="F158" s="14">
        <v>2025.0</v>
      </c>
      <c r="G158" s="14" t="s">
        <v>1131</v>
      </c>
      <c r="H158" s="14" t="s">
        <v>1132</v>
      </c>
      <c r="I158" s="14" t="s">
        <v>1133</v>
      </c>
      <c r="J158" s="14" t="s">
        <v>390</v>
      </c>
      <c r="K158" s="15" t="s">
        <v>1388</v>
      </c>
      <c r="L158" s="14" t="s">
        <v>1389</v>
      </c>
      <c r="M158" s="14">
        <v>30.0</v>
      </c>
      <c r="N158" s="14" t="s">
        <v>1390</v>
      </c>
      <c r="O158" s="14" t="s">
        <v>1391</v>
      </c>
      <c r="P158" s="14" t="s">
        <v>1392</v>
      </c>
      <c r="Q158" s="14" t="s">
        <v>41</v>
      </c>
      <c r="R158" s="14" t="s">
        <v>273</v>
      </c>
      <c r="S158" s="14" t="s">
        <v>274</v>
      </c>
      <c r="T158" s="14" t="s">
        <v>275</v>
      </c>
      <c r="U158" s="14" t="s">
        <v>45</v>
      </c>
      <c r="V158" s="14" t="s">
        <v>1393</v>
      </c>
      <c r="W158" s="14" t="s">
        <v>47</v>
      </c>
      <c r="X158" s="15" t="s">
        <v>1394</v>
      </c>
      <c r="Y158" s="14" t="s">
        <v>329</v>
      </c>
      <c r="Z158" s="14" t="s">
        <v>50</v>
      </c>
    </row>
    <row r="159">
      <c r="A159" s="14" t="s">
        <v>1395</v>
      </c>
      <c r="B159" s="14" t="s">
        <v>1040</v>
      </c>
      <c r="C159" s="14" t="s">
        <v>1375</v>
      </c>
      <c r="D159" s="14" t="s">
        <v>1396</v>
      </c>
      <c r="E159" s="14" t="s">
        <v>1397</v>
      </c>
      <c r="F159" s="14">
        <v>2025.0</v>
      </c>
      <c r="G159" s="14" t="s">
        <v>1131</v>
      </c>
      <c r="H159" s="14" t="s">
        <v>1132</v>
      </c>
      <c r="I159" s="14" t="s">
        <v>1133</v>
      </c>
      <c r="J159" s="14" t="s">
        <v>390</v>
      </c>
      <c r="K159" s="15" t="s">
        <v>1398</v>
      </c>
      <c r="L159" s="14" t="s">
        <v>1399</v>
      </c>
      <c r="M159" s="14">
        <v>29.0</v>
      </c>
      <c r="N159" s="14" t="s">
        <v>1400</v>
      </c>
      <c r="O159" s="14" t="s">
        <v>1401</v>
      </c>
      <c r="P159" s="14" t="s">
        <v>1402</v>
      </c>
      <c r="Q159" s="14" t="s">
        <v>41</v>
      </c>
      <c r="R159" s="14" t="s">
        <v>78</v>
      </c>
      <c r="S159" s="14" t="s">
        <v>360</v>
      </c>
      <c r="T159" s="14" t="s">
        <v>188</v>
      </c>
      <c r="U159" s="14" t="s">
        <v>45</v>
      </c>
      <c r="V159" s="14" t="s">
        <v>1403</v>
      </c>
      <c r="W159" s="14" t="s">
        <v>47</v>
      </c>
      <c r="X159" s="15" t="s">
        <v>1404</v>
      </c>
      <c r="Y159" s="14" t="s">
        <v>329</v>
      </c>
      <c r="Z159" s="14" t="s">
        <v>50</v>
      </c>
    </row>
    <row r="160">
      <c r="A160" s="14" t="s">
        <v>1405</v>
      </c>
      <c r="B160" s="14" t="s">
        <v>1040</v>
      </c>
      <c r="C160" s="14" t="s">
        <v>1375</v>
      </c>
      <c r="D160" s="14" t="s">
        <v>1406</v>
      </c>
      <c r="E160" s="14" t="s">
        <v>1407</v>
      </c>
      <c r="F160" s="14">
        <v>2025.0</v>
      </c>
      <c r="G160" s="14" t="s">
        <v>32</v>
      </c>
      <c r="H160" s="14" t="s">
        <v>33</v>
      </c>
      <c r="I160" s="14" t="s">
        <v>34</v>
      </c>
      <c r="J160" s="14" t="s">
        <v>35</v>
      </c>
      <c r="K160" s="15" t="s">
        <v>1408</v>
      </c>
      <c r="L160" s="14" t="s">
        <v>1409</v>
      </c>
      <c r="M160" s="14">
        <v>43.0</v>
      </c>
      <c r="N160" s="14" t="s">
        <v>1410</v>
      </c>
      <c r="O160" s="14" t="s">
        <v>1411</v>
      </c>
      <c r="P160" s="14" t="s">
        <v>1412</v>
      </c>
      <c r="Q160" s="14" t="s">
        <v>41</v>
      </c>
      <c r="R160" s="14" t="s">
        <v>78</v>
      </c>
      <c r="S160" s="14" t="s">
        <v>89</v>
      </c>
      <c r="T160" s="14" t="s">
        <v>198</v>
      </c>
      <c r="U160" s="14" t="s">
        <v>45</v>
      </c>
      <c r="V160" s="14" t="s">
        <v>1413</v>
      </c>
      <c r="W160" s="14" t="s">
        <v>47</v>
      </c>
      <c r="X160" s="15" t="s">
        <v>1414</v>
      </c>
      <c r="Y160" s="14" t="s">
        <v>329</v>
      </c>
      <c r="Z160" s="14" t="s">
        <v>50</v>
      </c>
    </row>
    <row r="161">
      <c r="A161" s="14" t="s">
        <v>1415</v>
      </c>
      <c r="B161" s="14" t="s">
        <v>1040</v>
      </c>
      <c r="C161" s="14" t="s">
        <v>1143</v>
      </c>
      <c r="D161" s="14" t="s">
        <v>1416</v>
      </c>
      <c r="E161" s="14" t="s">
        <v>1417</v>
      </c>
      <c r="F161" s="14">
        <v>2025.0</v>
      </c>
      <c r="G161" s="14" t="s">
        <v>32</v>
      </c>
      <c r="H161" s="14" t="s">
        <v>33</v>
      </c>
      <c r="I161" s="14" t="s">
        <v>34</v>
      </c>
      <c r="J161" s="14" t="s">
        <v>35</v>
      </c>
      <c r="K161" s="15" t="s">
        <v>1418</v>
      </c>
      <c r="L161" s="14" t="s">
        <v>1419</v>
      </c>
      <c r="M161" s="14">
        <v>36.0</v>
      </c>
      <c r="N161" s="14" t="s">
        <v>1420</v>
      </c>
      <c r="O161" s="14" t="s">
        <v>1421</v>
      </c>
      <c r="P161" s="14" t="s">
        <v>1422</v>
      </c>
      <c r="Q161" s="14" t="s">
        <v>41</v>
      </c>
      <c r="R161" s="14" t="s">
        <v>56</v>
      </c>
      <c r="S161" s="14" t="s">
        <v>57</v>
      </c>
      <c r="T161" s="14" t="s">
        <v>128</v>
      </c>
      <c r="U161" s="14" t="s">
        <v>45</v>
      </c>
      <c r="V161" s="14" t="s">
        <v>1423</v>
      </c>
      <c r="W161" s="14" t="s">
        <v>47</v>
      </c>
      <c r="X161" s="15" t="s">
        <v>1424</v>
      </c>
      <c r="Y161" s="14" t="s">
        <v>329</v>
      </c>
      <c r="Z161" s="14" t="s">
        <v>50</v>
      </c>
    </row>
    <row r="162">
      <c r="A162" s="14" t="s">
        <v>1425</v>
      </c>
      <c r="B162" s="14" t="s">
        <v>386</v>
      </c>
      <c r="C162" s="14" t="s">
        <v>1426</v>
      </c>
      <c r="D162" s="14" t="s">
        <v>1427</v>
      </c>
      <c r="E162" s="14" t="s">
        <v>1428</v>
      </c>
      <c r="F162" s="14">
        <v>2026.0</v>
      </c>
      <c r="G162" s="14" t="s">
        <v>1131</v>
      </c>
      <c r="H162" s="14" t="s">
        <v>1132</v>
      </c>
      <c r="I162" s="14" t="s">
        <v>1133</v>
      </c>
      <c r="J162" s="14" t="s">
        <v>390</v>
      </c>
      <c r="K162" s="15" t="s">
        <v>1429</v>
      </c>
      <c r="L162" s="14" t="s">
        <v>1430</v>
      </c>
      <c r="M162" s="14">
        <v>41.0</v>
      </c>
      <c r="N162" s="14" t="s">
        <v>1431</v>
      </c>
      <c r="O162" s="14" t="s">
        <v>1432</v>
      </c>
      <c r="P162" s="14" t="s">
        <v>1433</v>
      </c>
      <c r="Q162" s="14" t="s">
        <v>41</v>
      </c>
      <c r="R162" s="14" t="s">
        <v>404</v>
      </c>
      <c r="S162" s="14" t="s">
        <v>138</v>
      </c>
      <c r="T162" s="14" t="s">
        <v>90</v>
      </c>
      <c r="U162" s="14" t="s">
        <v>45</v>
      </c>
      <c r="V162" s="14" t="s">
        <v>1434</v>
      </c>
      <c r="W162" s="14" t="s">
        <v>1079</v>
      </c>
      <c r="X162" s="15" t="s">
        <v>1435</v>
      </c>
      <c r="Y162" s="14" t="s">
        <v>329</v>
      </c>
      <c r="Z162" s="14" t="s">
        <v>50</v>
      </c>
    </row>
    <row r="163">
      <c r="A163" s="14" t="s">
        <v>1436</v>
      </c>
      <c r="B163" s="14" t="s">
        <v>1437</v>
      </c>
      <c r="C163" s="14" t="s">
        <v>1438</v>
      </c>
      <c r="D163" s="14" t="s">
        <v>1439</v>
      </c>
      <c r="E163" s="14" t="s">
        <v>1440</v>
      </c>
      <c r="F163" s="14">
        <v>2025.0</v>
      </c>
      <c r="G163" s="14" t="s">
        <v>32</v>
      </c>
      <c r="H163" s="14" t="s">
        <v>33</v>
      </c>
      <c r="I163" s="14" t="s">
        <v>34</v>
      </c>
      <c r="J163" s="14" t="s">
        <v>390</v>
      </c>
      <c r="K163" s="15" t="s">
        <v>1441</v>
      </c>
      <c r="L163" s="14" t="s">
        <v>1442</v>
      </c>
      <c r="M163" s="14">
        <v>43.0</v>
      </c>
      <c r="N163" s="14" t="s">
        <v>1443</v>
      </c>
      <c r="O163" s="14" t="s">
        <v>1444</v>
      </c>
      <c r="P163" s="14" t="s">
        <v>1445</v>
      </c>
      <c r="Q163" s="14" t="s">
        <v>41</v>
      </c>
      <c r="R163" s="14" t="s">
        <v>1027</v>
      </c>
      <c r="S163" s="14" t="s">
        <v>1028</v>
      </c>
      <c r="T163" s="14" t="s">
        <v>198</v>
      </c>
      <c r="U163" s="14" t="s">
        <v>45</v>
      </c>
      <c r="V163" s="14" t="s">
        <v>1446</v>
      </c>
      <c r="W163" s="14" t="s">
        <v>47</v>
      </c>
      <c r="X163" s="15" t="s">
        <v>1447</v>
      </c>
      <c r="Y163" s="14" t="s">
        <v>329</v>
      </c>
      <c r="Z163" s="14" t="s">
        <v>50</v>
      </c>
    </row>
    <row r="164">
      <c r="A164" s="14" t="s">
        <v>1448</v>
      </c>
      <c r="B164" s="14" t="s">
        <v>1437</v>
      </c>
      <c r="C164" s="14" t="s">
        <v>1438</v>
      </c>
      <c r="D164" s="14" t="s">
        <v>1439</v>
      </c>
      <c r="E164" s="14" t="s">
        <v>1440</v>
      </c>
      <c r="F164" s="14">
        <v>2025.0</v>
      </c>
      <c r="G164" s="14" t="s">
        <v>32</v>
      </c>
      <c r="H164" s="14" t="s">
        <v>33</v>
      </c>
      <c r="I164" s="14" t="s">
        <v>34</v>
      </c>
      <c r="J164" s="14" t="s">
        <v>390</v>
      </c>
      <c r="K164" s="15" t="s">
        <v>1449</v>
      </c>
      <c r="L164" s="14" t="s">
        <v>1450</v>
      </c>
      <c r="M164" s="14">
        <v>39.0</v>
      </c>
      <c r="N164" s="14" t="s">
        <v>1451</v>
      </c>
      <c r="O164" s="14" t="s">
        <v>1452</v>
      </c>
      <c r="P164" s="14" t="s">
        <v>1453</v>
      </c>
      <c r="Q164" s="14" t="s">
        <v>316</v>
      </c>
      <c r="R164" s="14" t="s">
        <v>1027</v>
      </c>
      <c r="S164" s="14" t="s">
        <v>1028</v>
      </c>
      <c r="T164" s="14" t="s">
        <v>160</v>
      </c>
      <c r="U164" s="14" t="s">
        <v>45</v>
      </c>
      <c r="V164" s="14" t="s">
        <v>1454</v>
      </c>
      <c r="W164" s="14" t="s">
        <v>47</v>
      </c>
      <c r="X164" s="15" t="s">
        <v>1455</v>
      </c>
      <c r="Y164" s="14" t="s">
        <v>329</v>
      </c>
      <c r="Z164" s="14" t="s">
        <v>50</v>
      </c>
    </row>
    <row r="165">
      <c r="A165" s="14" t="s">
        <v>1456</v>
      </c>
      <c r="B165" s="14" t="s">
        <v>1437</v>
      </c>
      <c r="C165" s="14" t="s">
        <v>1438</v>
      </c>
      <c r="D165" s="14" t="s">
        <v>1439</v>
      </c>
      <c r="E165" s="14" t="s">
        <v>1440</v>
      </c>
      <c r="F165" s="14">
        <v>2025.0</v>
      </c>
      <c r="G165" s="14" t="s">
        <v>32</v>
      </c>
      <c r="H165" s="14" t="s">
        <v>33</v>
      </c>
      <c r="I165" s="14" t="s">
        <v>34</v>
      </c>
      <c r="J165" s="14" t="s">
        <v>390</v>
      </c>
      <c r="K165" s="15" t="s">
        <v>1457</v>
      </c>
      <c r="L165" s="14" t="s">
        <v>1458</v>
      </c>
      <c r="M165" s="14">
        <v>50.0</v>
      </c>
      <c r="N165" s="14" t="s">
        <v>1459</v>
      </c>
      <c r="O165" s="14" t="s">
        <v>1460</v>
      </c>
      <c r="P165" s="14" t="s">
        <v>1461</v>
      </c>
      <c r="Q165" s="14" t="s">
        <v>41</v>
      </c>
      <c r="R165" s="14" t="s">
        <v>1027</v>
      </c>
      <c r="S165" s="14" t="s">
        <v>1028</v>
      </c>
      <c r="T165" s="14" t="s">
        <v>160</v>
      </c>
      <c r="U165" s="14" t="s">
        <v>45</v>
      </c>
      <c r="V165" s="14" t="s">
        <v>1462</v>
      </c>
      <c r="W165" s="14" t="s">
        <v>47</v>
      </c>
      <c r="X165" s="15" t="s">
        <v>1463</v>
      </c>
      <c r="Y165" s="14" t="s">
        <v>329</v>
      </c>
      <c r="Z165" s="14" t="s">
        <v>50</v>
      </c>
    </row>
    <row r="166">
      <c r="A166" s="14" t="s">
        <v>1464</v>
      </c>
      <c r="B166" s="14" t="s">
        <v>1437</v>
      </c>
      <c r="C166" s="14" t="s">
        <v>1438</v>
      </c>
      <c r="D166" s="14" t="s">
        <v>1439</v>
      </c>
      <c r="E166" s="14" t="s">
        <v>1440</v>
      </c>
      <c r="F166" s="14">
        <v>2025.0</v>
      </c>
      <c r="G166" s="14" t="s">
        <v>32</v>
      </c>
      <c r="H166" s="14" t="s">
        <v>33</v>
      </c>
      <c r="I166" s="14" t="s">
        <v>34</v>
      </c>
      <c r="J166" s="14" t="s">
        <v>390</v>
      </c>
      <c r="K166" s="15" t="s">
        <v>1465</v>
      </c>
      <c r="L166" s="14" t="s">
        <v>1466</v>
      </c>
      <c r="M166" s="14">
        <v>35.0</v>
      </c>
      <c r="N166" s="14" t="s">
        <v>1467</v>
      </c>
      <c r="O166" s="14" t="s">
        <v>1468</v>
      </c>
      <c r="P166" s="14" t="s">
        <v>1469</v>
      </c>
      <c r="Q166" s="14" t="s">
        <v>41</v>
      </c>
      <c r="R166" s="14" t="s">
        <v>273</v>
      </c>
      <c r="S166" s="14" t="s">
        <v>548</v>
      </c>
      <c r="T166" s="14" t="s">
        <v>198</v>
      </c>
      <c r="U166" s="14" t="s">
        <v>45</v>
      </c>
      <c r="V166" s="14" t="s">
        <v>1470</v>
      </c>
      <c r="W166" s="14" t="s">
        <v>47</v>
      </c>
      <c r="X166" s="15" t="s">
        <v>1471</v>
      </c>
      <c r="Y166" s="14" t="s">
        <v>329</v>
      </c>
      <c r="Z166" s="14" t="s">
        <v>50</v>
      </c>
    </row>
    <row r="167">
      <c r="A167" s="14" t="s">
        <v>1472</v>
      </c>
      <c r="B167" s="14" t="s">
        <v>1437</v>
      </c>
      <c r="C167" s="14" t="s">
        <v>1473</v>
      </c>
      <c r="D167" s="14" t="s">
        <v>1474</v>
      </c>
      <c r="E167" s="14" t="s">
        <v>1475</v>
      </c>
      <c r="F167" s="14">
        <v>2025.0</v>
      </c>
      <c r="G167" s="14" t="s">
        <v>32</v>
      </c>
      <c r="H167" s="14" t="s">
        <v>33</v>
      </c>
      <c r="I167" s="14" t="s">
        <v>34</v>
      </c>
      <c r="J167" s="14" t="s">
        <v>35</v>
      </c>
      <c r="K167" s="15" t="s">
        <v>1476</v>
      </c>
      <c r="L167" s="14" t="s">
        <v>1477</v>
      </c>
      <c r="M167" s="14">
        <v>24.0</v>
      </c>
      <c r="N167" s="14" t="s">
        <v>1478</v>
      </c>
      <c r="O167" s="14" t="s">
        <v>1479</v>
      </c>
      <c r="P167" s="14" t="s">
        <v>1480</v>
      </c>
      <c r="Q167" s="14" t="s">
        <v>41</v>
      </c>
      <c r="R167" s="14" t="s">
        <v>273</v>
      </c>
      <c r="S167" s="14" t="s">
        <v>383</v>
      </c>
      <c r="T167" s="14" t="s">
        <v>198</v>
      </c>
      <c r="U167" s="14" t="s">
        <v>45</v>
      </c>
      <c r="V167" s="14" t="s">
        <v>1481</v>
      </c>
      <c r="W167" s="14" t="s">
        <v>47</v>
      </c>
      <c r="X167" s="15" t="s">
        <v>1482</v>
      </c>
      <c r="Y167" s="14" t="s">
        <v>329</v>
      </c>
      <c r="Z167" s="14" t="s">
        <v>50</v>
      </c>
    </row>
    <row r="168">
      <c r="A168" s="14" t="s">
        <v>1483</v>
      </c>
      <c r="B168" s="14" t="s">
        <v>1437</v>
      </c>
      <c r="C168" s="14" t="s">
        <v>1484</v>
      </c>
      <c r="D168" s="14" t="s">
        <v>1474</v>
      </c>
      <c r="E168" s="14" t="s">
        <v>1475</v>
      </c>
      <c r="F168" s="14">
        <v>2025.0</v>
      </c>
      <c r="G168" s="14" t="s">
        <v>32</v>
      </c>
      <c r="H168" s="14" t="s">
        <v>33</v>
      </c>
      <c r="I168" s="14" t="s">
        <v>34</v>
      </c>
      <c r="J168" s="14" t="s">
        <v>390</v>
      </c>
      <c r="K168" s="15" t="s">
        <v>1485</v>
      </c>
      <c r="L168" s="14" t="s">
        <v>1486</v>
      </c>
      <c r="M168" s="14">
        <v>26.0</v>
      </c>
      <c r="N168" s="14" t="s">
        <v>1487</v>
      </c>
      <c r="O168" s="14" t="s">
        <v>1488</v>
      </c>
      <c r="P168" s="14" t="s">
        <v>1489</v>
      </c>
      <c r="Q168" s="14" t="s">
        <v>41</v>
      </c>
      <c r="R168" s="14" t="s">
        <v>1027</v>
      </c>
      <c r="S168" s="14" t="s">
        <v>1028</v>
      </c>
      <c r="T168" s="14" t="s">
        <v>198</v>
      </c>
      <c r="U168" s="14" t="s">
        <v>45</v>
      </c>
      <c r="V168" s="14" t="s">
        <v>1490</v>
      </c>
      <c r="W168" s="14" t="s">
        <v>47</v>
      </c>
      <c r="X168" s="15" t="s">
        <v>1491</v>
      </c>
      <c r="Y168" s="14" t="s">
        <v>329</v>
      </c>
      <c r="Z168" s="14" t="s">
        <v>50</v>
      </c>
    </row>
    <row r="169">
      <c r="A169" s="14" t="s">
        <v>1492</v>
      </c>
      <c r="B169" s="14" t="s">
        <v>1437</v>
      </c>
      <c r="C169" s="14" t="s">
        <v>1493</v>
      </c>
      <c r="D169" s="14" t="s">
        <v>1474</v>
      </c>
      <c r="E169" s="14" t="s">
        <v>1475</v>
      </c>
      <c r="F169" s="14">
        <v>2025.0</v>
      </c>
      <c r="G169" s="14" t="s">
        <v>32</v>
      </c>
      <c r="H169" s="14" t="s">
        <v>33</v>
      </c>
      <c r="I169" s="14" t="s">
        <v>34</v>
      </c>
      <c r="J169" s="14" t="s">
        <v>390</v>
      </c>
      <c r="K169" s="15" t="s">
        <v>1494</v>
      </c>
      <c r="L169" s="14" t="s">
        <v>1495</v>
      </c>
      <c r="M169" s="14">
        <v>24.0</v>
      </c>
      <c r="N169" s="14" t="s">
        <v>1496</v>
      </c>
      <c r="O169" s="14" t="s">
        <v>1497</v>
      </c>
      <c r="P169" s="14" t="s">
        <v>1498</v>
      </c>
      <c r="Q169" s="14" t="s">
        <v>41</v>
      </c>
      <c r="R169" s="14" t="s">
        <v>56</v>
      </c>
      <c r="S169" s="14" t="s">
        <v>57</v>
      </c>
      <c r="T169" s="14" t="s">
        <v>128</v>
      </c>
      <c r="U169" s="14" t="s">
        <v>45</v>
      </c>
      <c r="V169" s="14" t="s">
        <v>1499</v>
      </c>
      <c r="W169" s="14" t="s">
        <v>47</v>
      </c>
      <c r="X169" s="15" t="s">
        <v>1500</v>
      </c>
      <c r="Y169" s="14" t="s">
        <v>329</v>
      </c>
      <c r="Z169" s="14" t="s">
        <v>50</v>
      </c>
    </row>
    <row r="170">
      <c r="A170" s="14" t="s">
        <v>1501</v>
      </c>
      <c r="B170" s="14" t="s">
        <v>1437</v>
      </c>
      <c r="C170" s="14" t="s">
        <v>1438</v>
      </c>
      <c r="D170" s="14" t="s">
        <v>1474</v>
      </c>
      <c r="E170" s="14" t="s">
        <v>1475</v>
      </c>
      <c r="F170" s="14">
        <v>2025.0</v>
      </c>
      <c r="G170" s="14" t="s">
        <v>32</v>
      </c>
      <c r="H170" s="14" t="s">
        <v>33</v>
      </c>
      <c r="I170" s="14" t="s">
        <v>34</v>
      </c>
      <c r="J170" s="14" t="s">
        <v>390</v>
      </c>
      <c r="K170" s="15" t="s">
        <v>1502</v>
      </c>
      <c r="L170" s="14" t="s">
        <v>1503</v>
      </c>
      <c r="M170" s="14">
        <v>41.0</v>
      </c>
      <c r="N170" s="14" t="s">
        <v>1504</v>
      </c>
      <c r="O170" s="14" t="s">
        <v>1505</v>
      </c>
      <c r="P170" s="14" t="s">
        <v>1506</v>
      </c>
      <c r="Q170" s="14" t="s">
        <v>316</v>
      </c>
      <c r="R170" s="14" t="s">
        <v>42</v>
      </c>
      <c r="S170" s="14" t="s">
        <v>138</v>
      </c>
      <c r="T170" s="14" t="s">
        <v>90</v>
      </c>
      <c r="U170" s="14" t="s">
        <v>45</v>
      </c>
      <c r="V170" s="14" t="s">
        <v>46</v>
      </c>
      <c r="W170" s="14" t="s">
        <v>47</v>
      </c>
      <c r="X170" s="15" t="s">
        <v>1507</v>
      </c>
      <c r="Y170" s="14" t="s">
        <v>329</v>
      </c>
      <c r="Z170" s="14" t="s">
        <v>50</v>
      </c>
    </row>
    <row r="171">
      <c r="A171" s="14" t="s">
        <v>1508</v>
      </c>
      <c r="B171" s="14" t="s">
        <v>1437</v>
      </c>
      <c r="C171" s="14" t="s">
        <v>1438</v>
      </c>
      <c r="D171" s="14" t="s">
        <v>1509</v>
      </c>
      <c r="E171" s="14" t="s">
        <v>1510</v>
      </c>
      <c r="F171" s="14">
        <v>2024.0</v>
      </c>
      <c r="G171" s="14" t="s">
        <v>32</v>
      </c>
      <c r="H171" s="14" t="s">
        <v>33</v>
      </c>
      <c r="I171" s="14" t="s">
        <v>34</v>
      </c>
      <c r="J171" s="14" t="s">
        <v>390</v>
      </c>
      <c r="K171" s="15" t="s">
        <v>1511</v>
      </c>
      <c r="L171" s="14" t="s">
        <v>1512</v>
      </c>
      <c r="M171" s="14">
        <v>33.0</v>
      </c>
      <c r="N171" s="14" t="s">
        <v>1513</v>
      </c>
      <c r="O171" s="14" t="s">
        <v>1514</v>
      </c>
      <c r="P171" s="14" t="s">
        <v>1515</v>
      </c>
      <c r="Q171" s="14" t="s">
        <v>316</v>
      </c>
      <c r="R171" s="14" t="s">
        <v>1027</v>
      </c>
      <c r="S171" s="14" t="s">
        <v>1028</v>
      </c>
      <c r="T171" s="14" t="s">
        <v>198</v>
      </c>
      <c r="U171" s="14" t="s">
        <v>45</v>
      </c>
      <c r="V171" s="14" t="s">
        <v>1516</v>
      </c>
      <c r="W171" s="14" t="s">
        <v>47</v>
      </c>
      <c r="X171" s="15" t="s">
        <v>1517</v>
      </c>
      <c r="Y171" s="14" t="s">
        <v>329</v>
      </c>
      <c r="Z171" s="14" t="s">
        <v>50</v>
      </c>
    </row>
    <row r="172">
      <c r="A172" s="14" t="s">
        <v>1518</v>
      </c>
      <c r="B172" s="14" t="s">
        <v>1437</v>
      </c>
      <c r="C172" s="14" t="s">
        <v>1438</v>
      </c>
      <c r="D172" s="14" t="s">
        <v>1509</v>
      </c>
      <c r="E172" s="14" t="s">
        <v>1510</v>
      </c>
      <c r="F172" s="14">
        <v>2024.0</v>
      </c>
      <c r="G172" s="14" t="s">
        <v>32</v>
      </c>
      <c r="H172" s="14" t="s">
        <v>33</v>
      </c>
      <c r="I172" s="14" t="s">
        <v>34</v>
      </c>
      <c r="J172" s="14" t="s">
        <v>390</v>
      </c>
      <c r="K172" s="15" t="s">
        <v>1519</v>
      </c>
      <c r="L172" s="14" t="s">
        <v>1520</v>
      </c>
      <c r="M172" s="14">
        <v>24.0</v>
      </c>
      <c r="N172" s="14" t="s">
        <v>1521</v>
      </c>
      <c r="O172" s="14" t="s">
        <v>1522</v>
      </c>
      <c r="P172" s="14" t="s">
        <v>1523</v>
      </c>
      <c r="Q172" s="14" t="s">
        <v>41</v>
      </c>
      <c r="R172" s="14" t="s">
        <v>1027</v>
      </c>
      <c r="S172" s="14" t="s">
        <v>1028</v>
      </c>
      <c r="T172" s="14" t="s">
        <v>198</v>
      </c>
      <c r="U172" s="14" t="s">
        <v>45</v>
      </c>
      <c r="V172" s="14" t="s">
        <v>1524</v>
      </c>
      <c r="W172" s="14" t="s">
        <v>47</v>
      </c>
      <c r="X172" s="15" t="s">
        <v>1525</v>
      </c>
      <c r="Y172" s="14" t="s">
        <v>329</v>
      </c>
      <c r="Z172" s="14" t="s">
        <v>50</v>
      </c>
    </row>
    <row r="173">
      <c r="A173" s="14" t="s">
        <v>1526</v>
      </c>
      <c r="B173" s="14" t="s">
        <v>1437</v>
      </c>
      <c r="C173" s="14" t="s">
        <v>1438</v>
      </c>
      <c r="D173" s="14" t="s">
        <v>1527</v>
      </c>
      <c r="E173" s="14" t="s">
        <v>1528</v>
      </c>
      <c r="F173" s="14">
        <v>2024.0</v>
      </c>
      <c r="G173" s="14" t="s">
        <v>32</v>
      </c>
      <c r="H173" s="14" t="s">
        <v>33</v>
      </c>
      <c r="I173" s="14" t="s">
        <v>34</v>
      </c>
      <c r="J173" s="14" t="s">
        <v>35</v>
      </c>
      <c r="K173" s="15" t="s">
        <v>1529</v>
      </c>
      <c r="L173" s="14" t="s">
        <v>1530</v>
      </c>
      <c r="M173" s="14">
        <v>42.0</v>
      </c>
      <c r="N173" s="14" t="s">
        <v>1531</v>
      </c>
      <c r="O173" s="14" t="s">
        <v>1532</v>
      </c>
      <c r="P173" s="14" t="s">
        <v>1533</v>
      </c>
      <c r="Q173" s="14" t="s">
        <v>41</v>
      </c>
      <c r="R173" s="14" t="s">
        <v>1027</v>
      </c>
      <c r="S173" s="14" t="s">
        <v>1028</v>
      </c>
      <c r="T173" s="14" t="s">
        <v>198</v>
      </c>
      <c r="U173" s="14" t="s">
        <v>45</v>
      </c>
      <c r="V173" s="14" t="s">
        <v>1534</v>
      </c>
      <c r="W173" s="14" t="s">
        <v>47</v>
      </c>
      <c r="X173" s="15" t="s">
        <v>1535</v>
      </c>
      <c r="Y173" s="14" t="s">
        <v>329</v>
      </c>
      <c r="Z173" s="14" t="s">
        <v>50</v>
      </c>
    </row>
    <row r="174">
      <c r="A174" s="14" t="s">
        <v>1536</v>
      </c>
      <c r="B174" s="14" t="s">
        <v>1437</v>
      </c>
      <c r="C174" s="14" t="s">
        <v>1438</v>
      </c>
      <c r="D174" s="14" t="s">
        <v>1527</v>
      </c>
      <c r="E174" s="14" t="s">
        <v>1528</v>
      </c>
      <c r="F174" s="14">
        <v>2024.0</v>
      </c>
      <c r="G174" s="14" t="s">
        <v>32</v>
      </c>
      <c r="H174" s="14" t="s">
        <v>33</v>
      </c>
      <c r="I174" s="14" t="s">
        <v>34</v>
      </c>
      <c r="J174" s="14" t="s">
        <v>390</v>
      </c>
      <c r="K174" s="15" t="s">
        <v>1537</v>
      </c>
      <c r="L174" s="14" t="s">
        <v>1530</v>
      </c>
      <c r="M174" s="14">
        <v>33.0</v>
      </c>
      <c r="N174" s="14" t="s">
        <v>1538</v>
      </c>
      <c r="O174" s="14" t="s">
        <v>1539</v>
      </c>
      <c r="P174" s="14" t="s">
        <v>1540</v>
      </c>
      <c r="Q174" s="14" t="s">
        <v>316</v>
      </c>
      <c r="R174" s="14" t="s">
        <v>42</v>
      </c>
      <c r="S174" s="14" t="s">
        <v>138</v>
      </c>
      <c r="T174" s="14" t="s">
        <v>90</v>
      </c>
      <c r="U174" s="14" t="s">
        <v>45</v>
      </c>
      <c r="V174" s="14" t="s">
        <v>1541</v>
      </c>
      <c r="W174" s="14" t="s">
        <v>47</v>
      </c>
      <c r="X174" s="15" t="s">
        <v>1542</v>
      </c>
      <c r="Y174" s="14" t="s">
        <v>329</v>
      </c>
      <c r="Z174" s="14" t="s">
        <v>50</v>
      </c>
    </row>
    <row r="175">
      <c r="A175" s="14" t="s">
        <v>1543</v>
      </c>
      <c r="B175" s="14" t="s">
        <v>1437</v>
      </c>
      <c r="C175" s="14" t="s">
        <v>1438</v>
      </c>
      <c r="D175" s="14" t="s">
        <v>1527</v>
      </c>
      <c r="E175" s="14" t="s">
        <v>1528</v>
      </c>
      <c r="F175" s="14">
        <v>2024.0</v>
      </c>
      <c r="G175" s="14" t="s">
        <v>32</v>
      </c>
      <c r="H175" s="14" t="s">
        <v>33</v>
      </c>
      <c r="I175" s="14" t="s">
        <v>34</v>
      </c>
      <c r="J175" s="14" t="s">
        <v>390</v>
      </c>
      <c r="K175" s="15" t="s">
        <v>1544</v>
      </c>
      <c r="L175" s="14" t="s">
        <v>1545</v>
      </c>
      <c r="M175" s="14">
        <v>36.0</v>
      </c>
      <c r="N175" s="14" t="s">
        <v>1546</v>
      </c>
      <c r="O175" s="14" t="s">
        <v>1547</v>
      </c>
      <c r="P175" s="14" t="s">
        <v>1548</v>
      </c>
      <c r="Q175" s="14" t="s">
        <v>41</v>
      </c>
      <c r="R175" s="14" t="s">
        <v>1027</v>
      </c>
      <c r="S175" s="14" t="s">
        <v>1028</v>
      </c>
      <c r="T175" s="14" t="s">
        <v>198</v>
      </c>
      <c r="U175" s="14" t="s">
        <v>45</v>
      </c>
      <c r="V175" s="14" t="s">
        <v>46</v>
      </c>
      <c r="W175" s="14" t="s">
        <v>47</v>
      </c>
      <c r="X175" s="15" t="s">
        <v>1549</v>
      </c>
      <c r="Y175" s="14" t="s">
        <v>329</v>
      </c>
      <c r="Z175" s="14" t="s">
        <v>50</v>
      </c>
    </row>
    <row r="176">
      <c r="A176" s="14" t="s">
        <v>1550</v>
      </c>
      <c r="B176" s="14" t="s">
        <v>1437</v>
      </c>
      <c r="C176" s="14" t="s">
        <v>1438</v>
      </c>
      <c r="D176" s="14" t="s">
        <v>1527</v>
      </c>
      <c r="E176" s="14" t="s">
        <v>1528</v>
      </c>
      <c r="F176" s="14">
        <v>2024.0</v>
      </c>
      <c r="G176" s="14" t="s">
        <v>32</v>
      </c>
      <c r="H176" s="14" t="s">
        <v>33</v>
      </c>
      <c r="I176" s="14" t="s">
        <v>34</v>
      </c>
      <c r="J176" s="14" t="s">
        <v>390</v>
      </c>
      <c r="K176" s="15" t="s">
        <v>1551</v>
      </c>
      <c r="L176" s="14" t="s">
        <v>1552</v>
      </c>
      <c r="M176" s="14">
        <v>26.0</v>
      </c>
      <c r="N176" s="14" t="s">
        <v>1553</v>
      </c>
      <c r="O176" s="14" t="s">
        <v>1554</v>
      </c>
      <c r="P176" s="14" t="s">
        <v>1555</v>
      </c>
      <c r="Q176" s="14" t="s">
        <v>41</v>
      </c>
      <c r="R176" s="14" t="s">
        <v>1027</v>
      </c>
      <c r="S176" s="14" t="s">
        <v>1028</v>
      </c>
      <c r="T176" s="14" t="s">
        <v>160</v>
      </c>
      <c r="U176" s="14" t="s">
        <v>45</v>
      </c>
      <c r="V176" s="14" t="s">
        <v>1556</v>
      </c>
      <c r="W176" s="14" t="s">
        <v>47</v>
      </c>
      <c r="X176" s="15" t="s">
        <v>1557</v>
      </c>
      <c r="Y176" s="14" t="s">
        <v>329</v>
      </c>
      <c r="Z176" s="14" t="s">
        <v>50</v>
      </c>
    </row>
    <row r="177">
      <c r="A177" s="14" t="s">
        <v>1558</v>
      </c>
      <c r="B177" s="14" t="s">
        <v>1437</v>
      </c>
      <c r="C177" s="14" t="s">
        <v>1559</v>
      </c>
      <c r="D177" s="14" t="s">
        <v>1560</v>
      </c>
      <c r="E177" s="14" t="s">
        <v>1561</v>
      </c>
      <c r="F177" s="14">
        <v>2025.0</v>
      </c>
      <c r="G177" s="14" t="s">
        <v>32</v>
      </c>
      <c r="H177" s="14" t="s">
        <v>33</v>
      </c>
      <c r="I177" s="14" t="s">
        <v>34</v>
      </c>
      <c r="J177" s="14" t="s">
        <v>35</v>
      </c>
      <c r="K177" s="15" t="s">
        <v>1562</v>
      </c>
      <c r="L177" s="14" t="s">
        <v>1563</v>
      </c>
      <c r="M177" s="14">
        <v>36.0</v>
      </c>
      <c r="N177" s="14" t="s">
        <v>1564</v>
      </c>
      <c r="O177" s="14" t="s">
        <v>1565</v>
      </c>
      <c r="P177" s="14" t="s">
        <v>1566</v>
      </c>
      <c r="Q177" s="14" t="s">
        <v>41</v>
      </c>
      <c r="R177" s="14" t="s">
        <v>1027</v>
      </c>
      <c r="S177" s="14" t="s">
        <v>1028</v>
      </c>
      <c r="T177" s="14" t="s">
        <v>198</v>
      </c>
      <c r="U177" s="14" t="s">
        <v>45</v>
      </c>
      <c r="V177" s="14" t="s">
        <v>1567</v>
      </c>
      <c r="W177" s="14" t="s">
        <v>47</v>
      </c>
      <c r="X177" s="15" t="s">
        <v>1568</v>
      </c>
      <c r="Y177" s="14" t="s">
        <v>329</v>
      </c>
      <c r="Z177" s="14" t="s">
        <v>50</v>
      </c>
    </row>
    <row r="178">
      <c r="A178" s="14" t="s">
        <v>1569</v>
      </c>
      <c r="B178" s="14" t="s">
        <v>1437</v>
      </c>
      <c r="C178" s="14" t="s">
        <v>1559</v>
      </c>
      <c r="D178" s="14" t="s">
        <v>1560</v>
      </c>
      <c r="E178" s="14" t="s">
        <v>1561</v>
      </c>
      <c r="F178" s="14">
        <v>2025.0</v>
      </c>
      <c r="G178" s="14" t="s">
        <v>32</v>
      </c>
      <c r="H178" s="14" t="s">
        <v>33</v>
      </c>
      <c r="I178" s="14" t="s">
        <v>34</v>
      </c>
      <c r="J178" s="14" t="s">
        <v>35</v>
      </c>
      <c r="K178" s="15" t="s">
        <v>1570</v>
      </c>
      <c r="L178" s="14" t="s">
        <v>1571</v>
      </c>
      <c r="M178" s="14">
        <v>32.0</v>
      </c>
      <c r="N178" s="14" t="s">
        <v>1572</v>
      </c>
      <c r="O178" s="14" t="s">
        <v>1573</v>
      </c>
      <c r="P178" s="14" t="s">
        <v>1574</v>
      </c>
      <c r="Q178" s="14" t="s">
        <v>41</v>
      </c>
      <c r="R178" s="14" t="s">
        <v>42</v>
      </c>
      <c r="S178" s="14" t="s">
        <v>337</v>
      </c>
      <c r="T178" s="14" t="s">
        <v>504</v>
      </c>
      <c r="U178" s="14" t="s">
        <v>45</v>
      </c>
      <c r="V178" s="14" t="s">
        <v>1575</v>
      </c>
      <c r="W178" s="14" t="s">
        <v>47</v>
      </c>
      <c r="X178" s="15" t="s">
        <v>1576</v>
      </c>
      <c r="Y178" s="14" t="s">
        <v>329</v>
      </c>
      <c r="Z178" s="14" t="s">
        <v>50</v>
      </c>
    </row>
    <row r="179">
      <c r="A179" s="14" t="s">
        <v>1577</v>
      </c>
      <c r="B179" s="14" t="s">
        <v>1437</v>
      </c>
      <c r="C179" s="14" t="s">
        <v>1559</v>
      </c>
      <c r="D179" s="14" t="s">
        <v>1560</v>
      </c>
      <c r="E179" s="14" t="s">
        <v>1561</v>
      </c>
      <c r="F179" s="14">
        <v>2025.0</v>
      </c>
      <c r="G179" s="14" t="s">
        <v>32</v>
      </c>
      <c r="H179" s="14" t="s">
        <v>33</v>
      </c>
      <c r="I179" s="14" t="s">
        <v>34</v>
      </c>
      <c r="J179" s="14" t="s">
        <v>390</v>
      </c>
      <c r="K179" s="15" t="s">
        <v>1578</v>
      </c>
      <c r="L179" s="14" t="s">
        <v>1579</v>
      </c>
      <c r="M179" s="14">
        <v>25.0</v>
      </c>
      <c r="N179" s="14" t="s">
        <v>1580</v>
      </c>
      <c r="O179" s="14" t="s">
        <v>1581</v>
      </c>
      <c r="P179" s="14" t="s">
        <v>1582</v>
      </c>
      <c r="Q179" s="14" t="s">
        <v>41</v>
      </c>
      <c r="R179" s="14" t="s">
        <v>273</v>
      </c>
      <c r="S179" s="14" t="s">
        <v>383</v>
      </c>
      <c r="T179" s="14" t="s">
        <v>198</v>
      </c>
      <c r="U179" s="14" t="s">
        <v>45</v>
      </c>
      <c r="V179" s="14" t="s">
        <v>46</v>
      </c>
      <c r="W179" s="14" t="s">
        <v>47</v>
      </c>
      <c r="X179" s="15" t="s">
        <v>1583</v>
      </c>
      <c r="Y179" s="14" t="s">
        <v>329</v>
      </c>
      <c r="Z179" s="14" t="s">
        <v>50</v>
      </c>
    </row>
    <row r="180">
      <c r="A180" s="14" t="s">
        <v>1584</v>
      </c>
      <c r="B180" s="14" t="s">
        <v>386</v>
      </c>
      <c r="C180" s="14" t="s">
        <v>1585</v>
      </c>
      <c r="D180" s="14" t="s">
        <v>1586</v>
      </c>
      <c r="E180" s="14" t="s">
        <v>1587</v>
      </c>
      <c r="F180" s="14">
        <v>2025.0</v>
      </c>
      <c r="G180" s="14" t="s">
        <v>1218</v>
      </c>
      <c r="H180" s="14" t="s">
        <v>1132</v>
      </c>
      <c r="I180" s="14" t="s">
        <v>1133</v>
      </c>
      <c r="J180" s="14" t="s">
        <v>390</v>
      </c>
      <c r="K180" s="15" t="s">
        <v>1588</v>
      </c>
      <c r="L180" s="14" t="s">
        <v>1589</v>
      </c>
      <c r="M180" s="14">
        <v>33.0</v>
      </c>
      <c r="N180" s="14" t="s">
        <v>1590</v>
      </c>
      <c r="O180" s="14" t="s">
        <v>1591</v>
      </c>
      <c r="P180" s="14" t="s">
        <v>1592</v>
      </c>
      <c r="Q180" s="14" t="s">
        <v>41</v>
      </c>
      <c r="R180" s="14" t="s">
        <v>273</v>
      </c>
      <c r="S180" s="14" t="s">
        <v>548</v>
      </c>
      <c r="T180" s="14" t="s">
        <v>198</v>
      </c>
      <c r="U180" s="14" t="s">
        <v>45</v>
      </c>
      <c r="V180" s="14" t="s">
        <v>1593</v>
      </c>
      <c r="W180" s="14" t="s">
        <v>1079</v>
      </c>
      <c r="X180" s="15" t="s">
        <v>1594</v>
      </c>
      <c r="Y180" s="14" t="s">
        <v>1595</v>
      </c>
      <c r="Z180" s="14" t="s">
        <v>50</v>
      </c>
    </row>
    <row r="181">
      <c r="A181" s="14" t="s">
        <v>1596</v>
      </c>
      <c r="B181" s="14" t="s">
        <v>386</v>
      </c>
      <c r="C181" s="14" t="s">
        <v>1585</v>
      </c>
      <c r="D181" s="14" t="s">
        <v>1586</v>
      </c>
      <c r="E181" s="14" t="s">
        <v>1587</v>
      </c>
      <c r="F181" s="14">
        <v>2025.0</v>
      </c>
      <c r="G181" s="14" t="s">
        <v>1131</v>
      </c>
      <c r="H181" s="14" t="s">
        <v>1132</v>
      </c>
      <c r="I181" s="14" t="s">
        <v>1133</v>
      </c>
      <c r="J181" s="14" t="s">
        <v>1134</v>
      </c>
      <c r="K181" s="15" t="s">
        <v>1597</v>
      </c>
      <c r="L181" s="14" t="s">
        <v>1589</v>
      </c>
      <c r="M181" s="14">
        <v>24.0</v>
      </c>
      <c r="N181" s="14" t="s">
        <v>1598</v>
      </c>
      <c r="O181" s="14" t="s">
        <v>1599</v>
      </c>
      <c r="P181" s="14" t="s">
        <v>1600</v>
      </c>
      <c r="Q181" s="14" t="s">
        <v>41</v>
      </c>
      <c r="R181" s="14" t="s">
        <v>404</v>
      </c>
      <c r="S181" s="14" t="s">
        <v>1124</v>
      </c>
      <c r="T181" s="14" t="s">
        <v>104</v>
      </c>
      <c r="U181" s="14" t="s">
        <v>45</v>
      </c>
      <c r="V181" s="14" t="s">
        <v>1601</v>
      </c>
      <c r="W181" s="14" t="s">
        <v>1079</v>
      </c>
      <c r="X181" s="15" t="s">
        <v>1602</v>
      </c>
      <c r="Y181" s="14" t="s">
        <v>1595</v>
      </c>
      <c r="Z181" s="14" t="s">
        <v>50</v>
      </c>
    </row>
    <row r="182">
      <c r="A182" s="14" t="s">
        <v>1603</v>
      </c>
      <c r="B182" s="14" t="s">
        <v>386</v>
      </c>
      <c r="C182" s="14" t="s">
        <v>1585</v>
      </c>
      <c r="D182" s="14" t="s">
        <v>1586</v>
      </c>
      <c r="E182" s="14" t="s">
        <v>1587</v>
      </c>
      <c r="F182" s="14">
        <v>2025.0</v>
      </c>
      <c r="G182" s="14" t="s">
        <v>1131</v>
      </c>
      <c r="H182" s="14" t="s">
        <v>1132</v>
      </c>
      <c r="I182" s="14" t="s">
        <v>1133</v>
      </c>
      <c r="J182" s="14" t="s">
        <v>1134</v>
      </c>
      <c r="K182" s="15" t="s">
        <v>1604</v>
      </c>
      <c r="L182" s="14" t="s">
        <v>1605</v>
      </c>
      <c r="M182" s="14">
        <v>28.0</v>
      </c>
      <c r="N182" s="14" t="s">
        <v>1606</v>
      </c>
      <c r="O182" s="14" t="s">
        <v>1607</v>
      </c>
      <c r="P182" s="14" t="s">
        <v>1608</v>
      </c>
      <c r="Q182" s="14" t="s">
        <v>316</v>
      </c>
      <c r="R182" s="14" t="s">
        <v>78</v>
      </c>
      <c r="S182" s="14" t="s">
        <v>79</v>
      </c>
      <c r="T182" s="14" t="s">
        <v>44</v>
      </c>
      <c r="U182" s="14" t="s">
        <v>45</v>
      </c>
      <c r="V182" s="14" t="s">
        <v>1609</v>
      </c>
      <c r="W182" s="14" t="s">
        <v>1079</v>
      </c>
      <c r="X182" s="15" t="s">
        <v>1610</v>
      </c>
      <c r="Y182" s="14" t="s">
        <v>1595</v>
      </c>
      <c r="Z182" s="14" t="s">
        <v>50</v>
      </c>
    </row>
    <row r="183">
      <c r="A183" s="14" t="s">
        <v>1611</v>
      </c>
      <c r="B183" s="14" t="s">
        <v>386</v>
      </c>
      <c r="C183" s="14" t="s">
        <v>1585</v>
      </c>
      <c r="D183" s="14" t="s">
        <v>1586</v>
      </c>
      <c r="E183" s="14" t="s">
        <v>1587</v>
      </c>
      <c r="F183" s="14">
        <v>2025.0</v>
      </c>
      <c r="G183" s="14" t="s">
        <v>1218</v>
      </c>
      <c r="H183" s="14" t="s">
        <v>1132</v>
      </c>
      <c r="I183" s="14" t="s">
        <v>1133</v>
      </c>
      <c r="J183" s="14" t="s">
        <v>390</v>
      </c>
      <c r="K183" s="15" t="s">
        <v>1612</v>
      </c>
      <c r="L183" s="14" t="s">
        <v>1613</v>
      </c>
      <c r="M183" s="14">
        <v>34.0</v>
      </c>
      <c r="N183" s="14" t="s">
        <v>1614</v>
      </c>
      <c r="O183" s="14" t="s">
        <v>1615</v>
      </c>
      <c r="P183" s="14" t="s">
        <v>1616</v>
      </c>
      <c r="Q183" s="14" t="s">
        <v>41</v>
      </c>
      <c r="R183" s="14" t="s">
        <v>273</v>
      </c>
      <c r="S183" s="14" t="s">
        <v>548</v>
      </c>
      <c r="T183" s="14" t="s">
        <v>178</v>
      </c>
      <c r="U183" s="14" t="s">
        <v>45</v>
      </c>
      <c r="V183" s="14" t="s">
        <v>1617</v>
      </c>
      <c r="W183" s="14" t="s">
        <v>1079</v>
      </c>
      <c r="X183" s="15" t="s">
        <v>1618</v>
      </c>
      <c r="Y183" s="14" t="s">
        <v>1595</v>
      </c>
      <c r="Z183" s="14" t="s">
        <v>50</v>
      </c>
    </row>
    <row r="184">
      <c r="A184" s="14" t="s">
        <v>1619</v>
      </c>
      <c r="B184" s="14" t="s">
        <v>386</v>
      </c>
      <c r="C184" s="14" t="s">
        <v>1585</v>
      </c>
      <c r="D184" s="14" t="s">
        <v>1586</v>
      </c>
      <c r="E184" s="14" t="s">
        <v>1587</v>
      </c>
      <c r="F184" s="14">
        <v>2025.0</v>
      </c>
      <c r="G184" s="14" t="s">
        <v>1218</v>
      </c>
      <c r="H184" s="14" t="s">
        <v>1132</v>
      </c>
      <c r="I184" s="14" t="s">
        <v>1133</v>
      </c>
      <c r="J184" s="14" t="s">
        <v>390</v>
      </c>
      <c r="K184" s="15" t="s">
        <v>1620</v>
      </c>
      <c r="L184" s="14" t="s">
        <v>1605</v>
      </c>
      <c r="M184" s="14">
        <v>23.0</v>
      </c>
      <c r="N184" s="14" t="s">
        <v>1621</v>
      </c>
      <c r="O184" s="14" t="s">
        <v>1622</v>
      </c>
      <c r="P184" s="14" t="s">
        <v>1623</v>
      </c>
      <c r="Q184" s="14" t="s">
        <v>41</v>
      </c>
      <c r="R184" s="14" t="s">
        <v>42</v>
      </c>
      <c r="S184" s="14" t="s">
        <v>522</v>
      </c>
      <c r="T184" s="14" t="s">
        <v>90</v>
      </c>
      <c r="U184" s="14" t="s">
        <v>45</v>
      </c>
      <c r="V184" s="14" t="s">
        <v>46</v>
      </c>
      <c r="W184" s="14" t="s">
        <v>1079</v>
      </c>
      <c r="X184" s="15" t="s">
        <v>1624</v>
      </c>
      <c r="Y184" s="14" t="s">
        <v>1595</v>
      </c>
      <c r="Z184" s="14" t="s">
        <v>50</v>
      </c>
    </row>
    <row r="185">
      <c r="A185" s="14" t="s">
        <v>1625</v>
      </c>
      <c r="B185" s="14" t="s">
        <v>386</v>
      </c>
      <c r="C185" s="14" t="s">
        <v>1626</v>
      </c>
      <c r="D185" s="14" t="s">
        <v>1627</v>
      </c>
      <c r="E185" s="14" t="s">
        <v>1628</v>
      </c>
      <c r="F185" s="14">
        <v>2025.0</v>
      </c>
      <c r="G185" s="14" t="s">
        <v>1131</v>
      </c>
      <c r="H185" s="14" t="s">
        <v>1132</v>
      </c>
      <c r="I185" s="14" t="s">
        <v>1133</v>
      </c>
      <c r="J185" s="14" t="s">
        <v>390</v>
      </c>
      <c r="K185" s="15" t="s">
        <v>1629</v>
      </c>
      <c r="L185" s="14" t="s">
        <v>1630</v>
      </c>
      <c r="M185" s="14">
        <v>26.0</v>
      </c>
      <c r="N185" s="14" t="s">
        <v>1631</v>
      </c>
      <c r="O185" s="14" t="s">
        <v>1632</v>
      </c>
      <c r="P185" s="14" t="s">
        <v>1616</v>
      </c>
      <c r="Q185" s="14" t="s">
        <v>41</v>
      </c>
      <c r="R185" s="14" t="s">
        <v>273</v>
      </c>
      <c r="S185" s="14" t="s">
        <v>548</v>
      </c>
      <c r="T185" s="14" t="s">
        <v>504</v>
      </c>
      <c r="U185" s="14" t="s">
        <v>45</v>
      </c>
      <c r="V185" s="14" t="s">
        <v>1633</v>
      </c>
      <c r="W185" s="14" t="s">
        <v>1079</v>
      </c>
      <c r="X185" s="15" t="s">
        <v>1634</v>
      </c>
      <c r="Y185" s="14" t="s">
        <v>1595</v>
      </c>
      <c r="Z185" s="14" t="s">
        <v>50</v>
      </c>
    </row>
    <row r="186">
      <c r="A186" s="14" t="s">
        <v>1635</v>
      </c>
      <c r="B186" s="14" t="s">
        <v>386</v>
      </c>
      <c r="C186" s="14" t="s">
        <v>1626</v>
      </c>
      <c r="D186" s="14" t="s">
        <v>1627</v>
      </c>
      <c r="E186" s="14" t="s">
        <v>1628</v>
      </c>
      <c r="F186" s="14">
        <v>2025.0</v>
      </c>
      <c r="G186" s="14" t="s">
        <v>1131</v>
      </c>
      <c r="H186" s="14" t="s">
        <v>1132</v>
      </c>
      <c r="I186" s="14" t="s">
        <v>1133</v>
      </c>
      <c r="J186" s="14" t="s">
        <v>390</v>
      </c>
      <c r="K186" s="15" t="s">
        <v>1636</v>
      </c>
      <c r="L186" s="14" t="s">
        <v>1637</v>
      </c>
      <c r="M186" s="14">
        <v>28.0</v>
      </c>
      <c r="N186" s="14" t="s">
        <v>1638</v>
      </c>
      <c r="O186" s="14" t="s">
        <v>1639</v>
      </c>
      <c r="P186" s="14" t="s">
        <v>1640</v>
      </c>
      <c r="Q186" s="14" t="s">
        <v>41</v>
      </c>
      <c r="R186" s="14" t="s">
        <v>404</v>
      </c>
      <c r="S186" s="14" t="s">
        <v>405</v>
      </c>
      <c r="T186" s="14" t="s">
        <v>44</v>
      </c>
      <c r="U186" s="14" t="s">
        <v>45</v>
      </c>
      <c r="V186" s="14" t="s">
        <v>1641</v>
      </c>
      <c r="W186" s="14" t="s">
        <v>1079</v>
      </c>
      <c r="X186" s="15" t="s">
        <v>1642</v>
      </c>
      <c r="Y186" s="14" t="s">
        <v>1595</v>
      </c>
      <c r="Z186" s="14" t="s">
        <v>50</v>
      </c>
    </row>
    <row r="187">
      <c r="A187" s="14" t="s">
        <v>1643</v>
      </c>
      <c r="B187" s="14" t="s">
        <v>386</v>
      </c>
      <c r="C187" s="14" t="s">
        <v>1626</v>
      </c>
      <c r="D187" s="14" t="s">
        <v>1627</v>
      </c>
      <c r="E187" s="14" t="s">
        <v>1628</v>
      </c>
      <c r="F187" s="14">
        <v>2025.0</v>
      </c>
      <c r="G187" s="14" t="s">
        <v>1131</v>
      </c>
      <c r="H187" s="14" t="s">
        <v>1132</v>
      </c>
      <c r="I187" s="14" t="s">
        <v>1133</v>
      </c>
      <c r="J187" s="14" t="s">
        <v>390</v>
      </c>
      <c r="K187" s="15" t="s">
        <v>1644</v>
      </c>
      <c r="L187" s="14" t="s">
        <v>1645</v>
      </c>
      <c r="M187" s="14">
        <v>32.0</v>
      </c>
      <c r="N187" s="14" t="s">
        <v>1646</v>
      </c>
      <c r="O187" s="14" t="s">
        <v>1647</v>
      </c>
      <c r="P187" s="14" t="s">
        <v>1648</v>
      </c>
      <c r="Q187" s="14" t="s">
        <v>41</v>
      </c>
      <c r="R187" s="14" t="s">
        <v>42</v>
      </c>
      <c r="S187" s="14" t="s">
        <v>337</v>
      </c>
      <c r="T187" s="14" t="s">
        <v>188</v>
      </c>
      <c r="U187" s="14" t="s">
        <v>45</v>
      </c>
      <c r="V187" s="14" t="s">
        <v>1649</v>
      </c>
      <c r="W187" s="14" t="s">
        <v>1079</v>
      </c>
      <c r="X187" s="15" t="s">
        <v>1650</v>
      </c>
      <c r="Y187" s="14" t="s">
        <v>1595</v>
      </c>
      <c r="Z187" s="14" t="s">
        <v>50</v>
      </c>
    </row>
    <row r="188">
      <c r="A188" s="14" t="s">
        <v>1651</v>
      </c>
      <c r="B188" s="14" t="s">
        <v>386</v>
      </c>
      <c r="C188" s="14" t="s">
        <v>1626</v>
      </c>
      <c r="D188" s="14" t="s">
        <v>1627</v>
      </c>
      <c r="E188" s="14" t="s">
        <v>1628</v>
      </c>
      <c r="F188" s="14">
        <v>2025.0</v>
      </c>
      <c r="G188" s="14" t="s">
        <v>1131</v>
      </c>
      <c r="H188" s="14" t="s">
        <v>1132</v>
      </c>
      <c r="I188" s="14" t="s">
        <v>1133</v>
      </c>
      <c r="J188" s="14" t="s">
        <v>390</v>
      </c>
      <c r="K188" s="15" t="s">
        <v>1652</v>
      </c>
      <c r="L188" s="14" t="s">
        <v>1653</v>
      </c>
      <c r="M188" s="14">
        <v>29.0</v>
      </c>
      <c r="N188" s="14" t="s">
        <v>1654</v>
      </c>
      <c r="O188" s="14" t="s">
        <v>1655</v>
      </c>
      <c r="P188" s="14" t="s">
        <v>1656</v>
      </c>
      <c r="Q188" s="14" t="s">
        <v>41</v>
      </c>
      <c r="R188" s="14" t="s">
        <v>56</v>
      </c>
      <c r="S188" s="14" t="s">
        <v>57</v>
      </c>
      <c r="T188" s="14" t="s">
        <v>198</v>
      </c>
      <c r="U188" s="14" t="s">
        <v>45</v>
      </c>
      <c r="V188" s="14" t="s">
        <v>1657</v>
      </c>
      <c r="W188" s="14" t="s">
        <v>1079</v>
      </c>
      <c r="X188" s="15" t="s">
        <v>1658</v>
      </c>
      <c r="Y188" s="14" t="s">
        <v>1595</v>
      </c>
      <c r="Z188" s="14" t="s">
        <v>50</v>
      </c>
    </row>
    <row r="189">
      <c r="A189" s="14" t="s">
        <v>1659</v>
      </c>
      <c r="B189" s="14" t="s">
        <v>386</v>
      </c>
      <c r="C189" s="14" t="s">
        <v>1626</v>
      </c>
      <c r="D189" s="14" t="s">
        <v>1627</v>
      </c>
      <c r="E189" s="14" t="s">
        <v>1628</v>
      </c>
      <c r="F189" s="14">
        <v>2025.0</v>
      </c>
      <c r="G189" s="14" t="s">
        <v>1131</v>
      </c>
      <c r="H189" s="14" t="s">
        <v>1132</v>
      </c>
      <c r="I189" s="14" t="s">
        <v>1133</v>
      </c>
      <c r="J189" s="14" t="s">
        <v>390</v>
      </c>
      <c r="K189" s="15" t="s">
        <v>1660</v>
      </c>
      <c r="L189" s="14" t="s">
        <v>1661</v>
      </c>
      <c r="M189" s="14">
        <v>24.0</v>
      </c>
      <c r="N189" s="14" t="s">
        <v>1662</v>
      </c>
      <c r="O189" s="14" t="s">
        <v>1663</v>
      </c>
      <c r="P189" s="14" t="s">
        <v>1664</v>
      </c>
      <c r="Q189" s="14" t="s">
        <v>41</v>
      </c>
      <c r="R189" s="14" t="s">
        <v>78</v>
      </c>
      <c r="S189" s="14" t="s">
        <v>79</v>
      </c>
      <c r="T189" s="14" t="s">
        <v>58</v>
      </c>
      <c r="U189" s="14" t="s">
        <v>45</v>
      </c>
      <c r="V189" s="14" t="s">
        <v>1665</v>
      </c>
      <c r="W189" s="14" t="s">
        <v>1079</v>
      </c>
      <c r="X189" s="15" t="s">
        <v>1666</v>
      </c>
      <c r="Y189" s="14" t="s">
        <v>1595</v>
      </c>
      <c r="Z189" s="14" t="s">
        <v>50</v>
      </c>
    </row>
    <row r="190">
      <c r="A190" s="14" t="s">
        <v>1667</v>
      </c>
      <c r="B190" s="14" t="s">
        <v>386</v>
      </c>
      <c r="C190" s="14" t="s">
        <v>1626</v>
      </c>
      <c r="D190" s="14" t="s">
        <v>1668</v>
      </c>
      <c r="E190" s="14" t="s">
        <v>1669</v>
      </c>
      <c r="F190" s="14">
        <v>2025.0</v>
      </c>
      <c r="G190" s="14" t="s">
        <v>1131</v>
      </c>
      <c r="H190" s="14" t="s">
        <v>1132</v>
      </c>
      <c r="I190" s="14" t="s">
        <v>1133</v>
      </c>
      <c r="J190" s="14" t="s">
        <v>390</v>
      </c>
      <c r="K190" s="15" t="s">
        <v>1670</v>
      </c>
      <c r="L190" s="14" t="s">
        <v>1671</v>
      </c>
      <c r="M190" s="14">
        <v>32.0</v>
      </c>
      <c r="N190" s="14" t="s">
        <v>1672</v>
      </c>
      <c r="O190" s="14" t="s">
        <v>1673</v>
      </c>
      <c r="P190" s="14" t="s">
        <v>1674</v>
      </c>
      <c r="Q190" s="14" t="s">
        <v>41</v>
      </c>
      <c r="R190" s="14" t="s">
        <v>78</v>
      </c>
      <c r="S190" s="14" t="s">
        <v>79</v>
      </c>
      <c r="T190" s="14" t="s">
        <v>504</v>
      </c>
      <c r="U190" s="14" t="s">
        <v>45</v>
      </c>
      <c r="V190" s="14" t="s">
        <v>1675</v>
      </c>
      <c r="W190" s="14" t="s">
        <v>1079</v>
      </c>
      <c r="X190" s="15" t="s">
        <v>1676</v>
      </c>
      <c r="Y190" s="14" t="s">
        <v>1595</v>
      </c>
      <c r="Z190" s="14" t="s">
        <v>50</v>
      </c>
    </row>
    <row r="191">
      <c r="A191" s="14" t="s">
        <v>1677</v>
      </c>
      <c r="B191" s="14" t="s">
        <v>386</v>
      </c>
      <c r="C191" s="14" t="s">
        <v>1626</v>
      </c>
      <c r="D191" s="14" t="s">
        <v>1668</v>
      </c>
      <c r="E191" s="14" t="s">
        <v>1669</v>
      </c>
      <c r="F191" s="14">
        <v>2025.0</v>
      </c>
      <c r="G191" s="14" t="s">
        <v>1131</v>
      </c>
      <c r="H191" s="14" t="s">
        <v>1132</v>
      </c>
      <c r="I191" s="14" t="s">
        <v>1133</v>
      </c>
      <c r="J191" s="14" t="s">
        <v>390</v>
      </c>
      <c r="K191" s="15" t="s">
        <v>1678</v>
      </c>
      <c r="L191" s="14" t="s">
        <v>1679</v>
      </c>
      <c r="M191" s="14">
        <v>26.0</v>
      </c>
      <c r="N191" s="14" t="s">
        <v>1680</v>
      </c>
      <c r="O191" s="14" t="s">
        <v>1681</v>
      </c>
      <c r="P191" s="14" t="s">
        <v>1682</v>
      </c>
      <c r="Q191" s="14" t="s">
        <v>41</v>
      </c>
      <c r="R191" s="14" t="s">
        <v>273</v>
      </c>
      <c r="S191" s="14" t="s">
        <v>548</v>
      </c>
      <c r="T191" s="14" t="s">
        <v>44</v>
      </c>
      <c r="U191" s="14" t="s">
        <v>45</v>
      </c>
      <c r="V191" s="14" t="s">
        <v>1683</v>
      </c>
      <c r="W191" s="14" t="s">
        <v>1079</v>
      </c>
      <c r="X191" s="15" t="s">
        <v>1684</v>
      </c>
      <c r="Y191" s="14" t="s">
        <v>1595</v>
      </c>
      <c r="Z191" s="14" t="s">
        <v>50</v>
      </c>
    </row>
    <row r="192">
      <c r="A192" s="14" t="s">
        <v>1685</v>
      </c>
      <c r="B192" s="14" t="s">
        <v>386</v>
      </c>
      <c r="C192" s="14" t="s">
        <v>1626</v>
      </c>
      <c r="D192" s="14" t="s">
        <v>1668</v>
      </c>
      <c r="E192" s="14" t="s">
        <v>1669</v>
      </c>
      <c r="F192" s="14">
        <v>2025.0</v>
      </c>
      <c r="G192" s="14" t="s">
        <v>1131</v>
      </c>
      <c r="H192" s="14" t="s">
        <v>1132</v>
      </c>
      <c r="I192" s="14" t="s">
        <v>1133</v>
      </c>
      <c r="J192" s="14" t="s">
        <v>390</v>
      </c>
      <c r="K192" s="15" t="s">
        <v>1686</v>
      </c>
      <c r="L192" s="14" t="s">
        <v>1687</v>
      </c>
      <c r="M192" s="14">
        <v>23.0</v>
      </c>
      <c r="N192" s="14" t="s">
        <v>1688</v>
      </c>
      <c r="O192" s="14" t="s">
        <v>1689</v>
      </c>
      <c r="P192" s="14" t="s">
        <v>1690</v>
      </c>
      <c r="Q192" s="14" t="s">
        <v>41</v>
      </c>
      <c r="R192" s="14" t="s">
        <v>42</v>
      </c>
      <c r="S192" s="14" t="s">
        <v>337</v>
      </c>
      <c r="T192" s="14" t="s">
        <v>188</v>
      </c>
      <c r="U192" s="14" t="s">
        <v>45</v>
      </c>
      <c r="V192" s="14" t="s">
        <v>1691</v>
      </c>
      <c r="W192" s="14" t="s">
        <v>1079</v>
      </c>
      <c r="X192" s="15" t="s">
        <v>1692</v>
      </c>
      <c r="Y192" s="14" t="s">
        <v>1595</v>
      </c>
      <c r="Z192" s="14" t="s">
        <v>50</v>
      </c>
    </row>
    <row r="193">
      <c r="A193" s="14" t="s">
        <v>1693</v>
      </c>
      <c r="B193" s="14" t="s">
        <v>386</v>
      </c>
      <c r="C193" s="14" t="s">
        <v>1626</v>
      </c>
      <c r="D193" s="14" t="s">
        <v>1668</v>
      </c>
      <c r="E193" s="14" t="s">
        <v>1669</v>
      </c>
      <c r="F193" s="14">
        <v>2025.0</v>
      </c>
      <c r="G193" s="14" t="s">
        <v>1131</v>
      </c>
      <c r="H193" s="14" t="s">
        <v>1132</v>
      </c>
      <c r="I193" s="14" t="s">
        <v>1133</v>
      </c>
      <c r="J193" s="14" t="s">
        <v>390</v>
      </c>
      <c r="K193" s="15" t="s">
        <v>1694</v>
      </c>
      <c r="L193" s="14" t="s">
        <v>1695</v>
      </c>
      <c r="M193" s="14">
        <v>19.0</v>
      </c>
      <c r="N193" s="14" t="s">
        <v>1696</v>
      </c>
      <c r="O193" s="14" t="s">
        <v>1697</v>
      </c>
      <c r="P193" s="14" t="s">
        <v>1698</v>
      </c>
      <c r="Q193" s="14" t="s">
        <v>41</v>
      </c>
      <c r="R193" s="14" t="s">
        <v>1027</v>
      </c>
      <c r="S193" s="14" t="s">
        <v>1028</v>
      </c>
      <c r="T193" s="14" t="s">
        <v>58</v>
      </c>
      <c r="U193" s="14" t="s">
        <v>45</v>
      </c>
      <c r="V193" s="14" t="s">
        <v>1699</v>
      </c>
      <c r="W193" s="14" t="s">
        <v>1079</v>
      </c>
      <c r="X193" s="15" t="s">
        <v>1700</v>
      </c>
      <c r="Y193" s="14" t="s">
        <v>1595</v>
      </c>
      <c r="Z193" s="14" t="s">
        <v>50</v>
      </c>
    </row>
    <row r="194">
      <c r="A194" s="14" t="s">
        <v>1701</v>
      </c>
      <c r="B194" s="14" t="s">
        <v>386</v>
      </c>
      <c r="C194" s="14" t="s">
        <v>1626</v>
      </c>
      <c r="D194" s="14" t="s">
        <v>1668</v>
      </c>
      <c r="E194" s="14" t="s">
        <v>1669</v>
      </c>
      <c r="F194" s="14">
        <v>2025.0</v>
      </c>
      <c r="G194" s="14" t="s">
        <v>1131</v>
      </c>
      <c r="H194" s="14" t="s">
        <v>1132</v>
      </c>
      <c r="I194" s="14" t="s">
        <v>1133</v>
      </c>
      <c r="J194" s="14" t="s">
        <v>390</v>
      </c>
      <c r="K194" s="15" t="s">
        <v>1702</v>
      </c>
      <c r="L194" s="14" t="s">
        <v>1703</v>
      </c>
      <c r="M194" s="14">
        <v>23.0</v>
      </c>
      <c r="N194" s="14" t="s">
        <v>1704</v>
      </c>
      <c r="O194" s="14" t="s">
        <v>1705</v>
      </c>
      <c r="P194" s="14" t="s">
        <v>1706</v>
      </c>
      <c r="Q194" s="14" t="s">
        <v>41</v>
      </c>
      <c r="R194" s="14" t="s">
        <v>404</v>
      </c>
      <c r="S194" s="14" t="s">
        <v>1099</v>
      </c>
      <c r="T194" s="14" t="s">
        <v>58</v>
      </c>
      <c r="U194" s="14" t="s">
        <v>45</v>
      </c>
      <c r="V194" s="14" t="s">
        <v>1707</v>
      </c>
      <c r="W194" s="14" t="s">
        <v>1079</v>
      </c>
      <c r="X194" s="15" t="s">
        <v>1708</v>
      </c>
      <c r="Y194" s="14" t="s">
        <v>1595</v>
      </c>
      <c r="Z194" s="14" t="s">
        <v>50</v>
      </c>
    </row>
    <row r="195">
      <c r="A195" s="14" t="s">
        <v>1709</v>
      </c>
      <c r="B195" s="14" t="s">
        <v>386</v>
      </c>
      <c r="C195" s="14" t="s">
        <v>1626</v>
      </c>
      <c r="D195" s="14" t="s">
        <v>1710</v>
      </c>
      <c r="E195" s="14" t="s">
        <v>1711</v>
      </c>
      <c r="F195" s="14">
        <v>2025.0</v>
      </c>
      <c r="G195" s="14" t="s">
        <v>1131</v>
      </c>
      <c r="H195" s="14" t="s">
        <v>1132</v>
      </c>
      <c r="I195" s="14" t="s">
        <v>1133</v>
      </c>
      <c r="J195" s="14" t="s">
        <v>390</v>
      </c>
      <c r="K195" s="15" t="s">
        <v>1712</v>
      </c>
      <c r="L195" s="14" t="s">
        <v>1713</v>
      </c>
      <c r="M195" s="14">
        <v>28.0</v>
      </c>
      <c r="N195" s="14" t="s">
        <v>1714</v>
      </c>
      <c r="O195" s="14" t="s">
        <v>1715</v>
      </c>
      <c r="P195" s="14" t="s">
        <v>1716</v>
      </c>
      <c r="Q195" s="14" t="s">
        <v>41</v>
      </c>
      <c r="R195" s="14" t="s">
        <v>404</v>
      </c>
      <c r="S195" s="14" t="s">
        <v>846</v>
      </c>
      <c r="T195" s="14" t="s">
        <v>198</v>
      </c>
      <c r="U195" s="14" t="s">
        <v>45</v>
      </c>
      <c r="V195" s="14" t="s">
        <v>1717</v>
      </c>
      <c r="W195" s="14" t="s">
        <v>1079</v>
      </c>
      <c r="X195" s="15" t="s">
        <v>1718</v>
      </c>
      <c r="Y195" s="14" t="s">
        <v>1595</v>
      </c>
      <c r="Z195" s="14" t="s">
        <v>50</v>
      </c>
    </row>
    <row r="196">
      <c r="A196" s="14" t="s">
        <v>1719</v>
      </c>
      <c r="B196" s="14" t="s">
        <v>386</v>
      </c>
      <c r="C196" s="14" t="s">
        <v>1626</v>
      </c>
      <c r="D196" s="14" t="s">
        <v>1710</v>
      </c>
      <c r="E196" s="14" t="s">
        <v>1711</v>
      </c>
      <c r="F196" s="14">
        <v>2025.0</v>
      </c>
      <c r="G196" s="14" t="s">
        <v>1131</v>
      </c>
      <c r="H196" s="14" t="s">
        <v>1132</v>
      </c>
      <c r="I196" s="14" t="s">
        <v>1133</v>
      </c>
      <c r="J196" s="14" t="s">
        <v>390</v>
      </c>
      <c r="K196" s="15" t="s">
        <v>1720</v>
      </c>
      <c r="L196" s="14" t="s">
        <v>1713</v>
      </c>
      <c r="M196" s="14">
        <v>27.0</v>
      </c>
      <c r="N196" s="14" t="s">
        <v>1721</v>
      </c>
      <c r="O196" s="14" t="s">
        <v>1722</v>
      </c>
      <c r="P196" s="14" t="s">
        <v>1723</v>
      </c>
      <c r="Q196" s="14" t="s">
        <v>41</v>
      </c>
      <c r="R196" s="14" t="s">
        <v>56</v>
      </c>
      <c r="S196" s="14" t="s">
        <v>714</v>
      </c>
      <c r="T196" s="14" t="s">
        <v>58</v>
      </c>
      <c r="U196" s="14" t="s">
        <v>45</v>
      </c>
      <c r="V196" s="14" t="s">
        <v>1724</v>
      </c>
      <c r="W196" s="14" t="s">
        <v>1079</v>
      </c>
      <c r="X196" s="15" t="s">
        <v>1725</v>
      </c>
      <c r="Y196" s="14" t="s">
        <v>1595</v>
      </c>
      <c r="Z196" s="14" t="s">
        <v>50</v>
      </c>
    </row>
    <row r="197">
      <c r="A197" s="14" t="s">
        <v>1726</v>
      </c>
      <c r="B197" s="14" t="s">
        <v>386</v>
      </c>
      <c r="C197" s="14" t="s">
        <v>1626</v>
      </c>
      <c r="D197" s="14" t="s">
        <v>1710</v>
      </c>
      <c r="E197" s="14" t="s">
        <v>1711</v>
      </c>
      <c r="F197" s="14">
        <v>2025.0</v>
      </c>
      <c r="G197" s="14" t="s">
        <v>1131</v>
      </c>
      <c r="H197" s="14" t="s">
        <v>1132</v>
      </c>
      <c r="I197" s="14" t="s">
        <v>1133</v>
      </c>
      <c r="J197" s="14" t="s">
        <v>390</v>
      </c>
      <c r="K197" s="15" t="s">
        <v>1727</v>
      </c>
      <c r="L197" s="14" t="s">
        <v>1728</v>
      </c>
      <c r="M197" s="14">
        <v>19.0</v>
      </c>
      <c r="N197" s="14" t="s">
        <v>1729</v>
      </c>
      <c r="O197" s="14" t="s">
        <v>1730</v>
      </c>
      <c r="P197" s="14" t="s">
        <v>1731</v>
      </c>
      <c r="Q197" s="14" t="s">
        <v>41</v>
      </c>
      <c r="R197" s="14" t="s">
        <v>56</v>
      </c>
      <c r="S197" s="14" t="s">
        <v>57</v>
      </c>
      <c r="T197" s="14" t="s">
        <v>44</v>
      </c>
      <c r="U197" s="14" t="s">
        <v>45</v>
      </c>
      <c r="V197" s="14" t="s">
        <v>1732</v>
      </c>
      <c r="W197" s="14" t="s">
        <v>1079</v>
      </c>
      <c r="X197" s="15" t="s">
        <v>1733</v>
      </c>
      <c r="Y197" s="14" t="s">
        <v>1595</v>
      </c>
      <c r="Z197" s="14" t="s">
        <v>50</v>
      </c>
    </row>
    <row r="198">
      <c r="A198" s="14" t="s">
        <v>1734</v>
      </c>
      <c r="B198" s="14" t="s">
        <v>386</v>
      </c>
      <c r="C198" s="14" t="s">
        <v>1626</v>
      </c>
      <c r="D198" s="14" t="s">
        <v>1710</v>
      </c>
      <c r="E198" s="14" t="s">
        <v>1711</v>
      </c>
      <c r="F198" s="14">
        <v>2025.0</v>
      </c>
      <c r="G198" s="14" t="s">
        <v>1131</v>
      </c>
      <c r="H198" s="14" t="s">
        <v>1132</v>
      </c>
      <c r="I198" s="14" t="s">
        <v>1133</v>
      </c>
      <c r="J198" s="14" t="s">
        <v>390</v>
      </c>
      <c r="K198" s="15" t="s">
        <v>1735</v>
      </c>
      <c r="L198" s="14" t="s">
        <v>1736</v>
      </c>
      <c r="M198" s="14">
        <v>22.0</v>
      </c>
      <c r="N198" s="14" t="s">
        <v>1737</v>
      </c>
      <c r="O198" s="14" t="s">
        <v>1738</v>
      </c>
      <c r="P198" s="14" t="s">
        <v>1739</v>
      </c>
      <c r="Q198" s="14" t="s">
        <v>41</v>
      </c>
      <c r="R198" s="14" t="s">
        <v>78</v>
      </c>
      <c r="S198" s="14" t="s">
        <v>89</v>
      </c>
      <c r="T198" s="14" t="s">
        <v>104</v>
      </c>
      <c r="U198" s="14" t="s">
        <v>45</v>
      </c>
      <c r="V198" s="14" t="s">
        <v>46</v>
      </c>
      <c r="W198" s="14" t="s">
        <v>1079</v>
      </c>
      <c r="X198" s="15" t="s">
        <v>1740</v>
      </c>
      <c r="Y198" s="14" t="s">
        <v>1595</v>
      </c>
      <c r="Z198" s="14" t="s">
        <v>50</v>
      </c>
    </row>
    <row r="199">
      <c r="A199" s="14" t="s">
        <v>1741</v>
      </c>
      <c r="B199" s="14" t="s">
        <v>386</v>
      </c>
      <c r="C199" s="14" t="s">
        <v>1626</v>
      </c>
      <c r="D199" s="14" t="s">
        <v>1710</v>
      </c>
      <c r="E199" s="14" t="s">
        <v>1711</v>
      </c>
      <c r="F199" s="14">
        <v>2025.0</v>
      </c>
      <c r="G199" s="14" t="s">
        <v>1131</v>
      </c>
      <c r="H199" s="14" t="s">
        <v>1132</v>
      </c>
      <c r="I199" s="14" t="s">
        <v>1133</v>
      </c>
      <c r="J199" s="14" t="s">
        <v>390</v>
      </c>
      <c r="K199" s="15" t="s">
        <v>1742</v>
      </c>
      <c r="L199" s="14" t="s">
        <v>1736</v>
      </c>
      <c r="M199" s="14">
        <v>26.0</v>
      </c>
      <c r="N199" s="14" t="s">
        <v>1743</v>
      </c>
      <c r="O199" s="14" t="s">
        <v>1744</v>
      </c>
      <c r="P199" s="14" t="s">
        <v>1745</v>
      </c>
      <c r="Q199" s="14" t="s">
        <v>41</v>
      </c>
      <c r="R199" s="14" t="s">
        <v>78</v>
      </c>
      <c r="S199" s="14" t="s">
        <v>79</v>
      </c>
      <c r="T199" s="14" t="s">
        <v>198</v>
      </c>
      <c r="U199" s="14" t="s">
        <v>45</v>
      </c>
      <c r="V199" s="14" t="s">
        <v>1746</v>
      </c>
      <c r="W199" s="14" t="s">
        <v>1079</v>
      </c>
      <c r="X199" s="15" t="s">
        <v>1747</v>
      </c>
      <c r="Y199" s="14" t="s">
        <v>1595</v>
      </c>
      <c r="Z199" s="14" t="s">
        <v>50</v>
      </c>
    </row>
    <row r="200">
      <c r="A200" s="14" t="s">
        <v>1748</v>
      </c>
      <c r="B200" s="14" t="s">
        <v>386</v>
      </c>
      <c r="C200" s="14" t="s">
        <v>1243</v>
      </c>
      <c r="D200" s="14" t="s">
        <v>1749</v>
      </c>
      <c r="E200" s="14" t="s">
        <v>1750</v>
      </c>
      <c r="F200" s="14">
        <v>2024.0</v>
      </c>
      <c r="G200" s="14" t="s">
        <v>1131</v>
      </c>
      <c r="H200" s="14" t="s">
        <v>1132</v>
      </c>
      <c r="I200" s="14" t="s">
        <v>34</v>
      </c>
      <c r="J200" s="14" t="s">
        <v>390</v>
      </c>
      <c r="K200" s="15" t="s">
        <v>1751</v>
      </c>
      <c r="L200" s="14" t="s">
        <v>1752</v>
      </c>
      <c r="M200" s="14">
        <v>33.0</v>
      </c>
      <c r="N200" s="14" t="s">
        <v>1753</v>
      </c>
      <c r="O200" s="14" t="s">
        <v>1754</v>
      </c>
      <c r="P200" s="14" t="s">
        <v>1755</v>
      </c>
      <c r="Q200" s="14" t="s">
        <v>41</v>
      </c>
      <c r="R200" s="14" t="s">
        <v>42</v>
      </c>
      <c r="S200" s="14" t="s">
        <v>153</v>
      </c>
      <c r="T200" s="14" t="s">
        <v>58</v>
      </c>
      <c r="U200" s="14" t="s">
        <v>45</v>
      </c>
      <c r="V200" s="14" t="s">
        <v>1756</v>
      </c>
      <c r="W200" s="14" t="s">
        <v>47</v>
      </c>
      <c r="X200" s="15" t="s">
        <v>1757</v>
      </c>
      <c r="Y200" s="14" t="s">
        <v>1595</v>
      </c>
      <c r="Z200" s="14" t="s">
        <v>50</v>
      </c>
    </row>
    <row r="201">
      <c r="A201" s="14" t="s">
        <v>1758</v>
      </c>
      <c r="B201" s="14" t="s">
        <v>386</v>
      </c>
      <c r="C201" s="14" t="s">
        <v>1243</v>
      </c>
      <c r="D201" s="14" t="s">
        <v>1749</v>
      </c>
      <c r="E201" s="14" t="s">
        <v>1750</v>
      </c>
      <c r="F201" s="14">
        <v>2024.0</v>
      </c>
      <c r="G201" s="14" t="s">
        <v>1131</v>
      </c>
      <c r="H201" s="14" t="s">
        <v>1132</v>
      </c>
      <c r="I201" s="14" t="s">
        <v>34</v>
      </c>
      <c r="J201" s="14" t="s">
        <v>390</v>
      </c>
      <c r="K201" s="15" t="s">
        <v>1759</v>
      </c>
      <c r="L201" s="14" t="s">
        <v>1760</v>
      </c>
      <c r="M201" s="14">
        <v>28.0</v>
      </c>
      <c r="N201" s="14" t="s">
        <v>1761</v>
      </c>
      <c r="O201" s="14" t="s">
        <v>1762</v>
      </c>
      <c r="P201" s="14" t="s">
        <v>1763</v>
      </c>
      <c r="Q201" s="14" t="s">
        <v>41</v>
      </c>
      <c r="R201" s="14" t="s">
        <v>404</v>
      </c>
      <c r="S201" s="14" t="s">
        <v>1099</v>
      </c>
      <c r="T201" s="14" t="s">
        <v>104</v>
      </c>
      <c r="U201" s="14" t="s">
        <v>45</v>
      </c>
      <c r="V201" s="14" t="s">
        <v>1764</v>
      </c>
      <c r="W201" s="14" t="s">
        <v>47</v>
      </c>
      <c r="X201" s="15" t="s">
        <v>1765</v>
      </c>
      <c r="Y201" s="14" t="s">
        <v>1595</v>
      </c>
      <c r="Z201" s="14" t="s">
        <v>50</v>
      </c>
    </row>
    <row r="202">
      <c r="A202" s="14" t="s">
        <v>1766</v>
      </c>
      <c r="B202" s="14" t="s">
        <v>386</v>
      </c>
      <c r="C202" s="14" t="s">
        <v>1243</v>
      </c>
      <c r="D202" s="14" t="s">
        <v>1749</v>
      </c>
      <c r="E202" s="14" t="s">
        <v>1750</v>
      </c>
      <c r="F202" s="14">
        <v>2024.0</v>
      </c>
      <c r="G202" s="14" t="s">
        <v>1131</v>
      </c>
      <c r="H202" s="14" t="s">
        <v>1132</v>
      </c>
      <c r="I202" s="14" t="s">
        <v>34</v>
      </c>
      <c r="J202" s="14" t="s">
        <v>390</v>
      </c>
      <c r="K202" s="15" t="s">
        <v>1767</v>
      </c>
      <c r="L202" s="14" t="s">
        <v>1760</v>
      </c>
      <c r="M202" s="14">
        <v>32.0</v>
      </c>
      <c r="N202" s="14" t="s">
        <v>1768</v>
      </c>
      <c r="O202" s="14" t="s">
        <v>1769</v>
      </c>
      <c r="P202" s="14" t="s">
        <v>1770</v>
      </c>
      <c r="Q202" s="14" t="s">
        <v>41</v>
      </c>
      <c r="R202" s="14" t="s">
        <v>78</v>
      </c>
      <c r="S202" s="14" t="s">
        <v>79</v>
      </c>
      <c r="T202" s="14" t="s">
        <v>44</v>
      </c>
      <c r="U202" s="14" t="s">
        <v>45</v>
      </c>
      <c r="V202" s="14" t="s">
        <v>1771</v>
      </c>
      <c r="W202" s="14" t="s">
        <v>47</v>
      </c>
      <c r="X202" s="15" t="s">
        <v>1772</v>
      </c>
      <c r="Y202" s="14" t="s">
        <v>1595</v>
      </c>
      <c r="Z202" s="14" t="s">
        <v>50</v>
      </c>
    </row>
    <row r="203">
      <c r="A203" s="14" t="s">
        <v>1773</v>
      </c>
      <c r="B203" s="14" t="s">
        <v>386</v>
      </c>
      <c r="C203" s="14" t="s">
        <v>1243</v>
      </c>
      <c r="D203" s="14" t="s">
        <v>1749</v>
      </c>
      <c r="E203" s="14" t="s">
        <v>1750</v>
      </c>
      <c r="F203" s="14">
        <v>2024.0</v>
      </c>
      <c r="G203" s="14" t="s">
        <v>1131</v>
      </c>
      <c r="H203" s="14" t="s">
        <v>1132</v>
      </c>
      <c r="I203" s="14" t="s">
        <v>34</v>
      </c>
      <c r="J203" s="14" t="s">
        <v>390</v>
      </c>
      <c r="K203" s="15" t="s">
        <v>1774</v>
      </c>
      <c r="L203" s="14" t="s">
        <v>1775</v>
      </c>
      <c r="M203" s="14">
        <v>31.0</v>
      </c>
      <c r="N203" s="14" t="s">
        <v>1776</v>
      </c>
      <c r="O203" s="14" t="s">
        <v>1777</v>
      </c>
      <c r="P203" s="14" t="s">
        <v>1778</v>
      </c>
      <c r="Q203" s="14" t="s">
        <v>41</v>
      </c>
      <c r="R203" s="14" t="s">
        <v>42</v>
      </c>
      <c r="S203" s="14" t="s">
        <v>266</v>
      </c>
      <c r="T203" s="14" t="s">
        <v>160</v>
      </c>
      <c r="U203" s="14" t="s">
        <v>45</v>
      </c>
      <c r="V203" s="14" t="s">
        <v>46</v>
      </c>
      <c r="W203" s="14" t="s">
        <v>47</v>
      </c>
      <c r="X203" s="15" t="s">
        <v>1779</v>
      </c>
      <c r="Y203" s="14" t="s">
        <v>1595</v>
      </c>
      <c r="Z203" s="14" t="s">
        <v>50</v>
      </c>
    </row>
    <row r="204">
      <c r="A204" s="14" t="s">
        <v>1780</v>
      </c>
      <c r="B204" s="14" t="s">
        <v>386</v>
      </c>
      <c r="C204" s="14" t="s">
        <v>1243</v>
      </c>
      <c r="D204" s="14" t="s">
        <v>1749</v>
      </c>
      <c r="E204" s="14" t="s">
        <v>1750</v>
      </c>
      <c r="F204" s="14">
        <v>2024.0</v>
      </c>
      <c r="G204" s="14" t="s">
        <v>1131</v>
      </c>
      <c r="H204" s="14" t="s">
        <v>1132</v>
      </c>
      <c r="I204" s="14" t="s">
        <v>34</v>
      </c>
      <c r="J204" s="14" t="s">
        <v>390</v>
      </c>
      <c r="K204" s="15" t="s">
        <v>1781</v>
      </c>
      <c r="L204" s="14" t="s">
        <v>1782</v>
      </c>
      <c r="M204" s="14">
        <v>35.0</v>
      </c>
      <c r="N204" s="14" t="s">
        <v>1783</v>
      </c>
      <c r="O204" s="14" t="s">
        <v>1784</v>
      </c>
      <c r="P204" s="14" t="s">
        <v>1785</v>
      </c>
      <c r="Q204" s="14" t="s">
        <v>41</v>
      </c>
      <c r="R204" s="14" t="s">
        <v>273</v>
      </c>
      <c r="S204" s="14" t="s">
        <v>383</v>
      </c>
      <c r="T204" s="14" t="s">
        <v>198</v>
      </c>
      <c r="U204" s="14" t="s">
        <v>45</v>
      </c>
      <c r="V204" s="14" t="s">
        <v>1786</v>
      </c>
      <c r="W204" s="14" t="s">
        <v>47</v>
      </c>
      <c r="X204" s="15" t="s">
        <v>1787</v>
      </c>
      <c r="Y204" s="14" t="s">
        <v>1595</v>
      </c>
      <c r="Z204" s="14" t="s">
        <v>50</v>
      </c>
    </row>
    <row r="205">
      <c r="A205" s="14" t="s">
        <v>1788</v>
      </c>
      <c r="B205" s="14" t="s">
        <v>386</v>
      </c>
      <c r="C205" s="14" t="s">
        <v>1585</v>
      </c>
      <c r="D205" s="14" t="s">
        <v>1789</v>
      </c>
      <c r="E205" s="14" t="s">
        <v>1790</v>
      </c>
      <c r="F205" s="14">
        <v>2025.0</v>
      </c>
      <c r="G205" s="14" t="s">
        <v>1218</v>
      </c>
      <c r="H205" s="14" t="s">
        <v>1132</v>
      </c>
      <c r="I205" s="14" t="s">
        <v>1133</v>
      </c>
      <c r="J205" s="14" t="s">
        <v>390</v>
      </c>
      <c r="K205" s="15" t="s">
        <v>1791</v>
      </c>
      <c r="L205" s="14" t="s">
        <v>1792</v>
      </c>
      <c r="M205" s="14">
        <v>31.0</v>
      </c>
      <c r="N205" s="14" t="s">
        <v>1793</v>
      </c>
      <c r="O205" s="14" t="s">
        <v>1794</v>
      </c>
      <c r="P205" s="14" t="s">
        <v>1795</v>
      </c>
      <c r="Q205" s="14" t="s">
        <v>41</v>
      </c>
      <c r="R205" s="14" t="s">
        <v>273</v>
      </c>
      <c r="S205" s="14" t="s">
        <v>548</v>
      </c>
      <c r="T205" s="14" t="s">
        <v>139</v>
      </c>
      <c r="U205" s="14" t="s">
        <v>45</v>
      </c>
      <c r="V205" s="14" t="s">
        <v>1796</v>
      </c>
      <c r="W205" s="14" t="s">
        <v>1079</v>
      </c>
      <c r="X205" s="15" t="s">
        <v>1797</v>
      </c>
      <c r="Y205" s="14" t="s">
        <v>1595</v>
      </c>
      <c r="Z205" s="14" t="s">
        <v>50</v>
      </c>
    </row>
    <row r="206">
      <c r="A206" s="14" t="s">
        <v>1798</v>
      </c>
      <c r="B206" s="14" t="s">
        <v>386</v>
      </c>
      <c r="C206" s="14" t="s">
        <v>1585</v>
      </c>
      <c r="D206" s="14" t="s">
        <v>1789</v>
      </c>
      <c r="E206" s="14" t="s">
        <v>1790</v>
      </c>
      <c r="F206" s="14">
        <v>2025.0</v>
      </c>
      <c r="G206" s="14" t="s">
        <v>1218</v>
      </c>
      <c r="H206" s="14" t="s">
        <v>1132</v>
      </c>
      <c r="I206" s="14" t="s">
        <v>1133</v>
      </c>
      <c r="J206" s="14" t="s">
        <v>390</v>
      </c>
      <c r="K206" s="15" t="s">
        <v>1799</v>
      </c>
      <c r="L206" s="14" t="s">
        <v>1800</v>
      </c>
      <c r="M206" s="14">
        <v>18.0</v>
      </c>
      <c r="N206" s="14" t="s">
        <v>1801</v>
      </c>
      <c r="O206" s="14" t="s">
        <v>1802</v>
      </c>
      <c r="P206" s="14" t="s">
        <v>1803</v>
      </c>
      <c r="Q206" s="14" t="s">
        <v>41</v>
      </c>
      <c r="R206" s="14" t="s">
        <v>273</v>
      </c>
      <c r="S206" s="14" t="s">
        <v>548</v>
      </c>
      <c r="T206" s="14" t="s">
        <v>198</v>
      </c>
      <c r="U206" s="14" t="s">
        <v>45</v>
      </c>
      <c r="V206" s="14" t="s">
        <v>46</v>
      </c>
      <c r="W206" s="14" t="s">
        <v>1079</v>
      </c>
      <c r="X206" s="15" t="s">
        <v>1804</v>
      </c>
      <c r="Y206" s="14" t="s">
        <v>1595</v>
      </c>
      <c r="Z206" s="14" t="s">
        <v>50</v>
      </c>
    </row>
    <row r="207">
      <c r="A207" s="14" t="s">
        <v>1805</v>
      </c>
      <c r="B207" s="14" t="s">
        <v>386</v>
      </c>
      <c r="C207" s="14" t="s">
        <v>1585</v>
      </c>
      <c r="D207" s="14" t="s">
        <v>1806</v>
      </c>
      <c r="E207" s="14" t="s">
        <v>1807</v>
      </c>
      <c r="F207" s="14">
        <v>2025.0</v>
      </c>
      <c r="G207" s="14" t="s">
        <v>1131</v>
      </c>
      <c r="H207" s="14" t="s">
        <v>1132</v>
      </c>
      <c r="I207" s="14" t="s">
        <v>1133</v>
      </c>
      <c r="J207" s="14" t="s">
        <v>390</v>
      </c>
      <c r="K207" s="15" t="s">
        <v>1808</v>
      </c>
      <c r="L207" s="14" t="s">
        <v>1809</v>
      </c>
      <c r="M207" s="14">
        <v>28.0</v>
      </c>
      <c r="N207" s="14" t="s">
        <v>1810</v>
      </c>
      <c r="O207" s="14" t="s">
        <v>1811</v>
      </c>
      <c r="P207" s="14" t="s">
        <v>1812</v>
      </c>
      <c r="Q207" s="14" t="s">
        <v>41</v>
      </c>
      <c r="R207" s="14" t="s">
        <v>404</v>
      </c>
      <c r="S207" s="14" t="s">
        <v>1099</v>
      </c>
      <c r="T207" s="14" t="s">
        <v>44</v>
      </c>
      <c r="U207" s="14" t="s">
        <v>45</v>
      </c>
      <c r="V207" s="14" t="s">
        <v>1771</v>
      </c>
      <c r="W207" s="14" t="s">
        <v>1079</v>
      </c>
      <c r="X207" s="15" t="s">
        <v>1813</v>
      </c>
      <c r="Y207" s="14" t="s">
        <v>1595</v>
      </c>
      <c r="Z207" s="14" t="s">
        <v>50</v>
      </c>
    </row>
    <row r="208">
      <c r="A208" s="14" t="s">
        <v>1814</v>
      </c>
      <c r="B208" s="14" t="s">
        <v>386</v>
      </c>
      <c r="C208" s="14" t="s">
        <v>1585</v>
      </c>
      <c r="D208" s="14" t="s">
        <v>1806</v>
      </c>
      <c r="E208" s="14" t="s">
        <v>1807</v>
      </c>
      <c r="F208" s="14">
        <v>2025.0</v>
      </c>
      <c r="G208" s="14" t="s">
        <v>1131</v>
      </c>
      <c r="H208" s="14" t="s">
        <v>1132</v>
      </c>
      <c r="I208" s="14" t="s">
        <v>1133</v>
      </c>
      <c r="J208" s="14" t="s">
        <v>390</v>
      </c>
      <c r="K208" s="15" t="s">
        <v>1815</v>
      </c>
      <c r="L208" s="14" t="s">
        <v>1809</v>
      </c>
      <c r="M208" s="14">
        <v>34.0</v>
      </c>
      <c r="N208" s="14" t="s">
        <v>1816</v>
      </c>
      <c r="O208" s="14" t="s">
        <v>1817</v>
      </c>
      <c r="P208" s="14" t="s">
        <v>1818</v>
      </c>
      <c r="Q208" s="14" t="s">
        <v>41</v>
      </c>
      <c r="R208" s="14" t="s">
        <v>42</v>
      </c>
      <c r="S208" s="14" t="s">
        <v>153</v>
      </c>
      <c r="T208" s="14" t="s">
        <v>58</v>
      </c>
      <c r="U208" s="14" t="s">
        <v>45</v>
      </c>
      <c r="V208" s="14" t="s">
        <v>1819</v>
      </c>
      <c r="W208" s="14" t="s">
        <v>1079</v>
      </c>
      <c r="X208" s="15" t="s">
        <v>1820</v>
      </c>
      <c r="Y208" s="14" t="s">
        <v>1595</v>
      </c>
      <c r="Z208" s="14" t="s">
        <v>50</v>
      </c>
    </row>
    <row r="209">
      <c r="A209" s="14" t="s">
        <v>1821</v>
      </c>
      <c r="B209" s="14" t="s">
        <v>386</v>
      </c>
      <c r="C209" s="14" t="s">
        <v>1585</v>
      </c>
      <c r="D209" s="14" t="s">
        <v>1822</v>
      </c>
      <c r="E209" s="14" t="s">
        <v>1823</v>
      </c>
      <c r="F209" s="14">
        <v>2025.0</v>
      </c>
      <c r="G209" s="14" t="s">
        <v>1131</v>
      </c>
      <c r="H209" s="14" t="s">
        <v>1132</v>
      </c>
      <c r="I209" s="14" t="s">
        <v>1133</v>
      </c>
      <c r="J209" s="14" t="s">
        <v>390</v>
      </c>
      <c r="K209" s="15" t="s">
        <v>1824</v>
      </c>
      <c r="L209" s="14" t="s">
        <v>1825</v>
      </c>
      <c r="M209" s="14">
        <v>29.0</v>
      </c>
      <c r="N209" s="14" t="s">
        <v>1826</v>
      </c>
      <c r="O209" s="14" t="s">
        <v>1827</v>
      </c>
      <c r="P209" s="14" t="s">
        <v>1828</v>
      </c>
      <c r="Q209" s="14" t="s">
        <v>41</v>
      </c>
      <c r="R209" s="14" t="s">
        <v>56</v>
      </c>
      <c r="S209" s="14" t="s">
        <v>714</v>
      </c>
      <c r="T209" s="14" t="s">
        <v>90</v>
      </c>
      <c r="U209" s="14" t="s">
        <v>45</v>
      </c>
      <c r="V209" s="14" t="s">
        <v>46</v>
      </c>
      <c r="W209" s="14" t="s">
        <v>1079</v>
      </c>
      <c r="X209" s="15" t="s">
        <v>1829</v>
      </c>
      <c r="Y209" s="14" t="s">
        <v>1595</v>
      </c>
      <c r="Z209" s="14" t="s">
        <v>50</v>
      </c>
    </row>
    <row r="210">
      <c r="A210" s="14" t="s">
        <v>1830</v>
      </c>
      <c r="B210" s="14" t="s">
        <v>386</v>
      </c>
      <c r="C210" s="14" t="s">
        <v>1585</v>
      </c>
      <c r="D210" s="14" t="s">
        <v>1822</v>
      </c>
      <c r="E210" s="14" t="s">
        <v>1823</v>
      </c>
      <c r="F210" s="14">
        <v>2025.0</v>
      </c>
      <c r="G210" s="14" t="s">
        <v>1131</v>
      </c>
      <c r="H210" s="14" t="s">
        <v>1132</v>
      </c>
      <c r="I210" s="14" t="s">
        <v>1133</v>
      </c>
      <c r="J210" s="14" t="s">
        <v>1134</v>
      </c>
      <c r="K210" s="15" t="s">
        <v>1831</v>
      </c>
      <c r="L210" s="14" t="s">
        <v>1832</v>
      </c>
      <c r="M210" s="14">
        <v>27.0</v>
      </c>
      <c r="N210" s="14" t="s">
        <v>1833</v>
      </c>
      <c r="O210" s="14" t="s">
        <v>1834</v>
      </c>
      <c r="P210" s="14" t="s">
        <v>1835</v>
      </c>
      <c r="Q210" s="14" t="s">
        <v>41</v>
      </c>
      <c r="R210" s="14" t="s">
        <v>42</v>
      </c>
      <c r="S210" s="14" t="s">
        <v>522</v>
      </c>
      <c r="T210" s="14" t="s">
        <v>104</v>
      </c>
      <c r="U210" s="14" t="s">
        <v>45</v>
      </c>
      <c r="V210" s="14" t="s">
        <v>1836</v>
      </c>
      <c r="W210" s="14" t="s">
        <v>47</v>
      </c>
      <c r="X210" s="15" t="s">
        <v>1837</v>
      </c>
      <c r="Y210" s="14" t="s">
        <v>1595</v>
      </c>
      <c r="Z210" s="14" t="s">
        <v>50</v>
      </c>
    </row>
    <row r="211">
      <c r="A211" s="14" t="s">
        <v>1838</v>
      </c>
      <c r="B211" s="14" t="s">
        <v>386</v>
      </c>
      <c r="C211" s="14" t="s">
        <v>1585</v>
      </c>
      <c r="D211" s="14" t="s">
        <v>1822</v>
      </c>
      <c r="E211" s="14" t="s">
        <v>1823</v>
      </c>
      <c r="F211" s="14">
        <v>2025.0</v>
      </c>
      <c r="G211" s="14" t="s">
        <v>1131</v>
      </c>
      <c r="H211" s="14" t="s">
        <v>1132</v>
      </c>
      <c r="I211" s="14" t="s">
        <v>1133</v>
      </c>
      <c r="J211" s="14" t="s">
        <v>390</v>
      </c>
      <c r="K211" s="15" t="s">
        <v>1839</v>
      </c>
      <c r="L211" s="14" t="s">
        <v>1840</v>
      </c>
      <c r="M211" s="14">
        <v>13.0</v>
      </c>
      <c r="N211" s="14" t="s">
        <v>1841</v>
      </c>
      <c r="O211" s="14" t="s">
        <v>1842</v>
      </c>
      <c r="P211" s="14" t="s">
        <v>1843</v>
      </c>
      <c r="Q211" s="14" t="s">
        <v>41</v>
      </c>
      <c r="R211" s="14" t="s">
        <v>42</v>
      </c>
      <c r="S211" s="14" t="s">
        <v>1844</v>
      </c>
      <c r="T211" s="14" t="s">
        <v>139</v>
      </c>
      <c r="U211" s="14" t="s">
        <v>45</v>
      </c>
      <c r="V211" s="14" t="s">
        <v>46</v>
      </c>
      <c r="W211" s="14" t="s">
        <v>1079</v>
      </c>
      <c r="X211" s="15" t="s">
        <v>1845</v>
      </c>
      <c r="Y211" s="14" t="s">
        <v>1595</v>
      </c>
      <c r="Z211" s="14" t="s">
        <v>50</v>
      </c>
    </row>
    <row r="212">
      <c r="A212" s="14" t="s">
        <v>1846</v>
      </c>
      <c r="B212" s="14" t="s">
        <v>386</v>
      </c>
      <c r="C212" s="14" t="s">
        <v>1585</v>
      </c>
      <c r="D212" s="14" t="s">
        <v>1847</v>
      </c>
      <c r="E212" s="14" t="s">
        <v>1848</v>
      </c>
      <c r="F212" s="14">
        <v>2024.0</v>
      </c>
      <c r="G212" s="14" t="s">
        <v>1131</v>
      </c>
      <c r="H212" s="14" t="s">
        <v>1132</v>
      </c>
      <c r="I212" s="14" t="s">
        <v>1133</v>
      </c>
      <c r="J212" s="14" t="s">
        <v>35</v>
      </c>
      <c r="K212" s="15" t="s">
        <v>1849</v>
      </c>
      <c r="L212" s="14" t="s">
        <v>1850</v>
      </c>
      <c r="M212" s="14">
        <v>18.0</v>
      </c>
      <c r="N212" s="14" t="s">
        <v>1851</v>
      </c>
      <c r="O212" s="14" t="s">
        <v>1852</v>
      </c>
      <c r="P212" s="14" t="s">
        <v>1853</v>
      </c>
      <c r="Q212" s="14" t="s">
        <v>41</v>
      </c>
      <c r="R212" s="14" t="s">
        <v>56</v>
      </c>
      <c r="S212" s="14" t="s">
        <v>714</v>
      </c>
      <c r="T212" s="14" t="s">
        <v>58</v>
      </c>
      <c r="U212" s="14" t="s">
        <v>45</v>
      </c>
      <c r="V212" s="14" t="s">
        <v>1854</v>
      </c>
      <c r="W212" s="14" t="s">
        <v>47</v>
      </c>
      <c r="X212" s="15" t="s">
        <v>1855</v>
      </c>
      <c r="Y212" s="14" t="s">
        <v>1595</v>
      </c>
      <c r="Z212" s="14" t="s">
        <v>50</v>
      </c>
    </row>
    <row r="213">
      <c r="A213" s="14" t="s">
        <v>1856</v>
      </c>
      <c r="B213" s="14" t="s">
        <v>386</v>
      </c>
      <c r="C213" s="14" t="s">
        <v>1585</v>
      </c>
      <c r="D213" s="14" t="s">
        <v>1847</v>
      </c>
      <c r="E213" s="14" t="s">
        <v>1848</v>
      </c>
      <c r="F213" s="14">
        <v>2024.0</v>
      </c>
      <c r="G213" s="14" t="s">
        <v>1131</v>
      </c>
      <c r="H213" s="14" t="s">
        <v>1132</v>
      </c>
      <c r="I213" s="14" t="s">
        <v>1133</v>
      </c>
      <c r="J213" s="14" t="s">
        <v>390</v>
      </c>
      <c r="K213" s="15" t="s">
        <v>1857</v>
      </c>
      <c r="L213" s="14" t="s">
        <v>1858</v>
      </c>
      <c r="M213" s="14">
        <v>20.0</v>
      </c>
      <c r="N213" s="14" t="s">
        <v>1859</v>
      </c>
      <c r="O213" s="14" t="s">
        <v>1860</v>
      </c>
      <c r="P213" s="14" t="s">
        <v>1861</v>
      </c>
      <c r="Q213" s="14" t="s">
        <v>41</v>
      </c>
      <c r="R213" s="14" t="s">
        <v>42</v>
      </c>
      <c r="S213" s="14" t="s">
        <v>1844</v>
      </c>
      <c r="T213" s="14" t="s">
        <v>139</v>
      </c>
      <c r="U213" s="14" t="s">
        <v>45</v>
      </c>
      <c r="V213" s="14" t="s">
        <v>46</v>
      </c>
      <c r="W213" s="14" t="s">
        <v>1079</v>
      </c>
      <c r="X213" s="15" t="s">
        <v>1862</v>
      </c>
      <c r="Y213" s="14" t="s">
        <v>1595</v>
      </c>
      <c r="Z213" s="14" t="s">
        <v>50</v>
      </c>
    </row>
    <row r="214">
      <c r="A214" s="14" t="s">
        <v>1863</v>
      </c>
      <c r="B214" s="14" t="s">
        <v>386</v>
      </c>
      <c r="C214" s="14" t="s">
        <v>1585</v>
      </c>
      <c r="D214" s="14" t="s">
        <v>1847</v>
      </c>
      <c r="E214" s="14" t="s">
        <v>1848</v>
      </c>
      <c r="F214" s="14">
        <v>2024.0</v>
      </c>
      <c r="G214" s="14" t="s">
        <v>1864</v>
      </c>
      <c r="H214" s="14" t="s">
        <v>1865</v>
      </c>
      <c r="I214" s="14" t="s">
        <v>1133</v>
      </c>
      <c r="J214" s="14" t="s">
        <v>390</v>
      </c>
      <c r="K214" s="15" t="s">
        <v>1866</v>
      </c>
      <c r="L214" s="14" t="s">
        <v>1867</v>
      </c>
      <c r="M214" s="14">
        <v>22.0</v>
      </c>
      <c r="N214" s="14" t="s">
        <v>1868</v>
      </c>
      <c r="O214" s="14" t="s">
        <v>1869</v>
      </c>
      <c r="P214" s="14" t="s">
        <v>1870</v>
      </c>
      <c r="Q214" s="14" t="s">
        <v>41</v>
      </c>
      <c r="R214" s="14" t="s">
        <v>42</v>
      </c>
      <c r="S214" s="14" t="s">
        <v>153</v>
      </c>
      <c r="T214" s="14" t="s">
        <v>104</v>
      </c>
      <c r="U214" s="14" t="s">
        <v>45</v>
      </c>
      <c r="V214" s="14" t="s">
        <v>1871</v>
      </c>
      <c r="W214" s="14" t="s">
        <v>47</v>
      </c>
      <c r="X214" s="15" t="s">
        <v>1872</v>
      </c>
      <c r="Y214" s="14" t="s">
        <v>1595</v>
      </c>
      <c r="Z214" s="14" t="s">
        <v>50</v>
      </c>
    </row>
    <row r="215">
      <c r="A215" s="14" t="s">
        <v>1873</v>
      </c>
      <c r="B215" s="14" t="s">
        <v>386</v>
      </c>
      <c r="C215" s="14" t="s">
        <v>1585</v>
      </c>
      <c r="D215" s="14" t="s">
        <v>1847</v>
      </c>
      <c r="E215" s="14" t="s">
        <v>1848</v>
      </c>
      <c r="F215" s="14">
        <v>2024.0</v>
      </c>
      <c r="G215" s="14" t="s">
        <v>1131</v>
      </c>
      <c r="H215" s="14" t="s">
        <v>1132</v>
      </c>
      <c r="I215" s="14" t="s">
        <v>1133</v>
      </c>
      <c r="J215" s="14" t="s">
        <v>390</v>
      </c>
      <c r="K215" s="15" t="s">
        <v>1874</v>
      </c>
      <c r="L215" s="14" t="s">
        <v>1875</v>
      </c>
      <c r="M215" s="14">
        <v>22.0</v>
      </c>
      <c r="N215" s="14" t="s">
        <v>1876</v>
      </c>
      <c r="O215" s="14" t="s">
        <v>1877</v>
      </c>
      <c r="P215" s="14" t="s">
        <v>1878</v>
      </c>
      <c r="Q215" s="14" t="s">
        <v>41</v>
      </c>
      <c r="R215" s="14" t="s">
        <v>404</v>
      </c>
      <c r="S215" s="14" t="s">
        <v>1879</v>
      </c>
      <c r="T215" s="14" t="s">
        <v>198</v>
      </c>
      <c r="U215" s="14" t="s">
        <v>45</v>
      </c>
      <c r="V215" s="14" t="s">
        <v>46</v>
      </c>
      <c r="W215" s="14" t="s">
        <v>47</v>
      </c>
      <c r="X215" s="15" t="s">
        <v>1880</v>
      </c>
      <c r="Y215" s="14" t="s">
        <v>1595</v>
      </c>
      <c r="Z215" s="14" t="s">
        <v>50</v>
      </c>
    </row>
    <row r="216">
      <c r="A216" s="14" t="s">
        <v>1881</v>
      </c>
      <c r="B216" s="14" t="s">
        <v>386</v>
      </c>
      <c r="C216" s="14" t="s">
        <v>1882</v>
      </c>
      <c r="D216" s="14" t="s">
        <v>1883</v>
      </c>
      <c r="E216" s="14" t="s">
        <v>1884</v>
      </c>
      <c r="F216" s="14">
        <v>2025.0</v>
      </c>
      <c r="G216" s="14" t="s">
        <v>1131</v>
      </c>
      <c r="H216" s="14" t="s">
        <v>1132</v>
      </c>
      <c r="I216" s="14" t="s">
        <v>1133</v>
      </c>
      <c r="J216" s="14" t="s">
        <v>390</v>
      </c>
      <c r="K216" s="15" t="s">
        <v>1885</v>
      </c>
      <c r="L216" s="14" t="s">
        <v>1832</v>
      </c>
      <c r="M216" s="14">
        <v>22.0</v>
      </c>
      <c r="N216" s="14" t="s">
        <v>1886</v>
      </c>
      <c r="O216" s="14" t="s">
        <v>1887</v>
      </c>
      <c r="P216" s="14" t="s">
        <v>1888</v>
      </c>
      <c r="Q216" s="14" t="s">
        <v>41</v>
      </c>
      <c r="R216" s="14" t="s">
        <v>56</v>
      </c>
      <c r="S216" s="14" t="s">
        <v>714</v>
      </c>
      <c r="T216" s="14" t="s">
        <v>139</v>
      </c>
      <c r="U216" s="14" t="s">
        <v>45</v>
      </c>
      <c r="V216" s="14" t="s">
        <v>1889</v>
      </c>
      <c r="W216" s="14" t="s">
        <v>47</v>
      </c>
      <c r="X216" s="15" t="s">
        <v>1890</v>
      </c>
      <c r="Y216" s="14" t="s">
        <v>1595</v>
      </c>
      <c r="Z216" s="14" t="s">
        <v>50</v>
      </c>
    </row>
    <row r="217">
      <c r="A217" s="14" t="s">
        <v>1891</v>
      </c>
      <c r="B217" s="14" t="s">
        <v>386</v>
      </c>
      <c r="C217" s="14" t="s">
        <v>1882</v>
      </c>
      <c r="D217" s="14" t="s">
        <v>1883</v>
      </c>
      <c r="E217" s="14" t="s">
        <v>1884</v>
      </c>
      <c r="F217" s="14">
        <v>2025.0</v>
      </c>
      <c r="G217" s="14" t="s">
        <v>1131</v>
      </c>
      <c r="H217" s="14" t="s">
        <v>1132</v>
      </c>
      <c r="I217" s="14" t="s">
        <v>1133</v>
      </c>
      <c r="J217" s="14" t="s">
        <v>390</v>
      </c>
      <c r="K217" s="15" t="s">
        <v>1892</v>
      </c>
      <c r="L217" s="14" t="s">
        <v>1832</v>
      </c>
      <c r="M217" s="14">
        <v>22.0</v>
      </c>
      <c r="N217" s="14" t="s">
        <v>1893</v>
      </c>
      <c r="O217" s="14" t="s">
        <v>1894</v>
      </c>
      <c r="P217" s="14" t="s">
        <v>1895</v>
      </c>
      <c r="Q217" s="14" t="s">
        <v>41</v>
      </c>
      <c r="R217" s="14" t="s">
        <v>42</v>
      </c>
      <c r="S217" s="14" t="s">
        <v>43</v>
      </c>
      <c r="T217" s="14" t="s">
        <v>44</v>
      </c>
      <c r="U217" s="14" t="s">
        <v>45</v>
      </c>
      <c r="V217" s="14" t="s">
        <v>1896</v>
      </c>
      <c r="W217" s="14" t="s">
        <v>47</v>
      </c>
      <c r="X217" s="15" t="s">
        <v>1897</v>
      </c>
      <c r="Y217" s="14" t="s">
        <v>1595</v>
      </c>
      <c r="Z217" s="14" t="s">
        <v>50</v>
      </c>
    </row>
    <row r="218">
      <c r="A218" s="14" t="s">
        <v>1898</v>
      </c>
      <c r="B218" s="14" t="s">
        <v>386</v>
      </c>
      <c r="C218" s="14" t="s">
        <v>1882</v>
      </c>
      <c r="D218" s="14" t="s">
        <v>1883</v>
      </c>
      <c r="E218" s="14" t="s">
        <v>1884</v>
      </c>
      <c r="F218" s="14">
        <v>2025.0</v>
      </c>
      <c r="G218" s="14" t="s">
        <v>1131</v>
      </c>
      <c r="H218" s="14" t="s">
        <v>1132</v>
      </c>
      <c r="I218" s="14" t="s">
        <v>1133</v>
      </c>
      <c r="J218" s="14" t="s">
        <v>390</v>
      </c>
      <c r="K218" s="15" t="s">
        <v>1899</v>
      </c>
      <c r="L218" s="14" t="s">
        <v>1832</v>
      </c>
      <c r="M218" s="14">
        <v>22.0</v>
      </c>
      <c r="N218" s="14" t="s">
        <v>1900</v>
      </c>
      <c r="O218" s="14" t="s">
        <v>1901</v>
      </c>
      <c r="P218" s="14" t="s">
        <v>1902</v>
      </c>
      <c r="Q218" s="14" t="s">
        <v>41</v>
      </c>
      <c r="R218" s="14" t="s">
        <v>56</v>
      </c>
      <c r="S218" s="14" t="s">
        <v>57</v>
      </c>
      <c r="T218" s="14" t="s">
        <v>128</v>
      </c>
      <c r="U218" s="14" t="s">
        <v>45</v>
      </c>
      <c r="V218" s="14" t="s">
        <v>1903</v>
      </c>
      <c r="W218" s="14" t="s">
        <v>47</v>
      </c>
      <c r="X218" s="15" t="s">
        <v>1904</v>
      </c>
      <c r="Y218" s="14" t="s">
        <v>1595</v>
      </c>
      <c r="Z218" s="14" t="s">
        <v>50</v>
      </c>
    </row>
    <row r="219">
      <c r="A219" s="14" t="s">
        <v>1905</v>
      </c>
      <c r="B219" s="14" t="s">
        <v>386</v>
      </c>
      <c r="C219" s="14" t="s">
        <v>1882</v>
      </c>
      <c r="D219" s="14" t="s">
        <v>1883</v>
      </c>
      <c r="E219" s="14" t="s">
        <v>1884</v>
      </c>
      <c r="F219" s="14">
        <v>2025.0</v>
      </c>
      <c r="G219" s="14" t="s">
        <v>1131</v>
      </c>
      <c r="H219" s="14" t="s">
        <v>1132</v>
      </c>
      <c r="I219" s="14" t="s">
        <v>1133</v>
      </c>
      <c r="J219" s="14" t="s">
        <v>390</v>
      </c>
      <c r="K219" s="15" t="s">
        <v>1906</v>
      </c>
      <c r="L219" s="14" t="s">
        <v>1832</v>
      </c>
      <c r="M219" s="14">
        <v>13.0</v>
      </c>
      <c r="N219" s="14" t="s">
        <v>1907</v>
      </c>
      <c r="O219" s="14" t="s">
        <v>1908</v>
      </c>
      <c r="P219" s="14" t="s">
        <v>1909</v>
      </c>
      <c r="Q219" s="14" t="s">
        <v>41</v>
      </c>
      <c r="R219" s="14" t="s">
        <v>42</v>
      </c>
      <c r="S219" s="14" t="s">
        <v>43</v>
      </c>
      <c r="T219" s="14" t="s">
        <v>178</v>
      </c>
      <c r="U219" s="14" t="s">
        <v>45</v>
      </c>
      <c r="V219" s="14" t="s">
        <v>1910</v>
      </c>
      <c r="W219" s="14" t="s">
        <v>47</v>
      </c>
      <c r="X219" s="15" t="s">
        <v>1911</v>
      </c>
      <c r="Y219" s="14" t="s">
        <v>1595</v>
      </c>
      <c r="Z219" s="14" t="s">
        <v>50</v>
      </c>
    </row>
    <row r="220">
      <c r="A220" s="14" t="s">
        <v>1912</v>
      </c>
      <c r="B220" s="14" t="s">
        <v>386</v>
      </c>
      <c r="C220" s="14" t="s">
        <v>1882</v>
      </c>
      <c r="D220" s="14" t="s">
        <v>1883</v>
      </c>
      <c r="E220" s="14" t="s">
        <v>1884</v>
      </c>
      <c r="F220" s="14">
        <v>2025.0</v>
      </c>
      <c r="G220" s="14" t="s">
        <v>1131</v>
      </c>
      <c r="H220" s="14" t="s">
        <v>1132</v>
      </c>
      <c r="I220" s="14" t="s">
        <v>1133</v>
      </c>
      <c r="J220" s="14" t="s">
        <v>390</v>
      </c>
      <c r="K220" s="15" t="s">
        <v>1913</v>
      </c>
      <c r="L220" s="14" t="s">
        <v>1832</v>
      </c>
      <c r="M220" s="14">
        <v>24.0</v>
      </c>
      <c r="N220" s="14" t="s">
        <v>1914</v>
      </c>
      <c r="O220" s="14" t="s">
        <v>1915</v>
      </c>
      <c r="P220" s="14" t="s">
        <v>1916</v>
      </c>
      <c r="Q220" s="14" t="s">
        <v>41</v>
      </c>
      <c r="R220" s="14" t="s">
        <v>56</v>
      </c>
      <c r="S220" s="14" t="s">
        <v>293</v>
      </c>
      <c r="T220" s="14" t="s">
        <v>188</v>
      </c>
      <c r="U220" s="14" t="s">
        <v>45</v>
      </c>
      <c r="V220" s="14" t="s">
        <v>1917</v>
      </c>
      <c r="W220" s="14" t="s">
        <v>1079</v>
      </c>
      <c r="X220" s="15" t="s">
        <v>1918</v>
      </c>
      <c r="Y220" s="14" t="s">
        <v>1595</v>
      </c>
      <c r="Z220" s="14" t="s">
        <v>50</v>
      </c>
    </row>
    <row r="221">
      <c r="A221" s="14" t="s">
        <v>1919</v>
      </c>
      <c r="B221" s="14" t="s">
        <v>386</v>
      </c>
      <c r="C221" s="14" t="s">
        <v>1882</v>
      </c>
      <c r="D221" s="14" t="s">
        <v>1920</v>
      </c>
      <c r="E221" s="14" t="s">
        <v>1921</v>
      </c>
      <c r="F221" s="14">
        <v>2025.0</v>
      </c>
      <c r="G221" s="14" t="s">
        <v>1131</v>
      </c>
      <c r="H221" s="14" t="s">
        <v>1132</v>
      </c>
      <c r="I221" s="14" t="s">
        <v>1133</v>
      </c>
      <c r="J221" s="14" t="s">
        <v>390</v>
      </c>
      <c r="K221" s="15" t="s">
        <v>1922</v>
      </c>
      <c r="L221" s="14" t="s">
        <v>1923</v>
      </c>
      <c r="M221" s="14">
        <v>24.0</v>
      </c>
      <c r="N221" s="14" t="s">
        <v>1924</v>
      </c>
      <c r="O221" s="14" t="s">
        <v>1925</v>
      </c>
      <c r="P221" s="14" t="s">
        <v>1926</v>
      </c>
      <c r="Q221" s="14" t="s">
        <v>41</v>
      </c>
      <c r="R221" s="14" t="s">
        <v>42</v>
      </c>
      <c r="S221" s="14" t="s">
        <v>522</v>
      </c>
      <c r="T221" s="14" t="s">
        <v>44</v>
      </c>
      <c r="U221" s="14" t="s">
        <v>45</v>
      </c>
      <c r="V221" s="14" t="s">
        <v>1927</v>
      </c>
      <c r="W221" s="14" t="s">
        <v>47</v>
      </c>
      <c r="X221" s="15" t="s">
        <v>1928</v>
      </c>
      <c r="Y221" s="14" t="s">
        <v>1595</v>
      </c>
      <c r="Z221" s="14" t="s">
        <v>50</v>
      </c>
    </row>
    <row r="222">
      <c r="A222" s="14" t="s">
        <v>1929</v>
      </c>
      <c r="B222" s="14" t="s">
        <v>386</v>
      </c>
      <c r="C222" s="14" t="s">
        <v>1882</v>
      </c>
      <c r="D222" s="14" t="s">
        <v>1920</v>
      </c>
      <c r="E222" s="14" t="s">
        <v>1921</v>
      </c>
      <c r="F222" s="14">
        <v>2025.0</v>
      </c>
      <c r="G222" s="14" t="s">
        <v>1131</v>
      </c>
      <c r="H222" s="14" t="s">
        <v>1132</v>
      </c>
      <c r="I222" s="14" t="s">
        <v>1133</v>
      </c>
      <c r="J222" s="14" t="s">
        <v>390</v>
      </c>
      <c r="K222" s="15" t="s">
        <v>1930</v>
      </c>
      <c r="L222" s="14" t="s">
        <v>1931</v>
      </c>
      <c r="M222" s="14">
        <v>31.0</v>
      </c>
      <c r="N222" s="14" t="s">
        <v>1932</v>
      </c>
      <c r="O222" s="14" t="s">
        <v>1933</v>
      </c>
      <c r="P222" s="14" t="s">
        <v>1115</v>
      </c>
      <c r="Q222" s="14" t="s">
        <v>41</v>
      </c>
      <c r="R222" s="14" t="s">
        <v>42</v>
      </c>
      <c r="S222" s="14" t="s">
        <v>153</v>
      </c>
      <c r="T222" s="14" t="s">
        <v>58</v>
      </c>
      <c r="U222" s="14" t="s">
        <v>45</v>
      </c>
      <c r="V222" s="14" t="s">
        <v>1934</v>
      </c>
      <c r="W222" s="14" t="s">
        <v>1079</v>
      </c>
      <c r="X222" s="15" t="s">
        <v>1935</v>
      </c>
      <c r="Y222" s="14" t="s">
        <v>1595</v>
      </c>
      <c r="Z222" s="14" t="s">
        <v>50</v>
      </c>
    </row>
    <row r="223">
      <c r="A223" s="14" t="s">
        <v>1936</v>
      </c>
      <c r="B223" s="14" t="s">
        <v>386</v>
      </c>
      <c r="C223" s="14" t="s">
        <v>1882</v>
      </c>
      <c r="D223" s="14" t="s">
        <v>1920</v>
      </c>
      <c r="E223" s="14" t="s">
        <v>1921</v>
      </c>
      <c r="F223" s="14">
        <v>2025.0</v>
      </c>
      <c r="G223" s="14" t="s">
        <v>1218</v>
      </c>
      <c r="H223" s="14" t="s">
        <v>1132</v>
      </c>
      <c r="I223" s="14" t="s">
        <v>1133</v>
      </c>
      <c r="J223" s="14" t="s">
        <v>390</v>
      </c>
      <c r="K223" s="15" t="s">
        <v>1937</v>
      </c>
      <c r="L223" s="14" t="s">
        <v>1938</v>
      </c>
      <c r="M223" s="14">
        <v>23.0</v>
      </c>
      <c r="N223" s="14" t="s">
        <v>1939</v>
      </c>
      <c r="O223" s="14" t="s">
        <v>1940</v>
      </c>
      <c r="P223" s="14" t="s">
        <v>1941</v>
      </c>
      <c r="Q223" s="14" t="s">
        <v>41</v>
      </c>
      <c r="R223" s="14" t="s">
        <v>42</v>
      </c>
      <c r="S223" s="14" t="s">
        <v>67</v>
      </c>
      <c r="T223" s="14" t="s">
        <v>68</v>
      </c>
      <c r="U223" s="14" t="s">
        <v>45</v>
      </c>
      <c r="V223" s="14" t="s">
        <v>1942</v>
      </c>
      <c r="W223" s="14" t="s">
        <v>47</v>
      </c>
      <c r="X223" s="15" t="s">
        <v>1943</v>
      </c>
      <c r="Y223" s="14" t="s">
        <v>1595</v>
      </c>
      <c r="Z223" s="14" t="s">
        <v>50</v>
      </c>
    </row>
    <row r="224">
      <c r="A224" s="14" t="s">
        <v>1944</v>
      </c>
      <c r="B224" s="14" t="s">
        <v>386</v>
      </c>
      <c r="C224" s="14" t="s">
        <v>1882</v>
      </c>
      <c r="D224" s="14" t="s">
        <v>1920</v>
      </c>
      <c r="E224" s="14" t="s">
        <v>1921</v>
      </c>
      <c r="F224" s="14">
        <v>2025.0</v>
      </c>
      <c r="G224" s="14" t="s">
        <v>1218</v>
      </c>
      <c r="H224" s="14" t="s">
        <v>1132</v>
      </c>
      <c r="I224" s="14" t="s">
        <v>1133</v>
      </c>
      <c r="J224" s="14" t="s">
        <v>35</v>
      </c>
      <c r="K224" s="15" t="s">
        <v>1945</v>
      </c>
      <c r="L224" s="14" t="s">
        <v>1875</v>
      </c>
      <c r="M224" s="14">
        <v>27.0</v>
      </c>
      <c r="N224" s="14" t="s">
        <v>1946</v>
      </c>
      <c r="O224" s="14" t="s">
        <v>1947</v>
      </c>
      <c r="P224" s="14" t="s">
        <v>1948</v>
      </c>
      <c r="Q224" s="14" t="s">
        <v>41</v>
      </c>
      <c r="R224" s="14" t="s">
        <v>56</v>
      </c>
      <c r="S224" s="14" t="s">
        <v>714</v>
      </c>
      <c r="T224" s="14" t="s">
        <v>58</v>
      </c>
      <c r="U224" s="14" t="s">
        <v>45</v>
      </c>
      <c r="V224" s="14" t="s">
        <v>1949</v>
      </c>
      <c r="W224" s="14" t="s">
        <v>47</v>
      </c>
      <c r="X224" s="15" t="s">
        <v>1950</v>
      </c>
      <c r="Y224" s="14" t="s">
        <v>1595</v>
      </c>
      <c r="Z224" s="14" t="s">
        <v>50</v>
      </c>
    </row>
    <row r="225">
      <c r="A225" s="14" t="s">
        <v>1951</v>
      </c>
      <c r="B225" s="14" t="s">
        <v>386</v>
      </c>
      <c r="C225" s="14" t="s">
        <v>1882</v>
      </c>
      <c r="D225" s="14" t="s">
        <v>1920</v>
      </c>
      <c r="E225" s="14" t="s">
        <v>1921</v>
      </c>
      <c r="F225" s="14">
        <v>2025.0</v>
      </c>
      <c r="G225" s="14" t="s">
        <v>32</v>
      </c>
      <c r="H225" s="14" t="s">
        <v>33</v>
      </c>
      <c r="I225" s="14" t="s">
        <v>34</v>
      </c>
      <c r="J225" s="14" t="s">
        <v>35</v>
      </c>
      <c r="K225" s="15" t="s">
        <v>1952</v>
      </c>
      <c r="L225" s="14" t="s">
        <v>1953</v>
      </c>
      <c r="M225" s="14">
        <v>12.0</v>
      </c>
      <c r="N225" s="14" t="s">
        <v>1954</v>
      </c>
      <c r="O225" s="14" t="s">
        <v>1955</v>
      </c>
      <c r="P225" s="14" t="s">
        <v>1956</v>
      </c>
      <c r="Q225" s="14" t="s">
        <v>41</v>
      </c>
      <c r="R225" s="14" t="s">
        <v>1027</v>
      </c>
      <c r="S225" s="14" t="s">
        <v>1028</v>
      </c>
      <c r="T225" s="14" t="s">
        <v>104</v>
      </c>
      <c r="U225" s="14" t="s">
        <v>45</v>
      </c>
      <c r="V225" s="14" t="s">
        <v>1957</v>
      </c>
      <c r="W225" s="14" t="s">
        <v>47</v>
      </c>
      <c r="X225" s="15" t="s">
        <v>1958</v>
      </c>
      <c r="Y225" s="14" t="s">
        <v>1595</v>
      </c>
      <c r="Z225" s="14" t="s">
        <v>50</v>
      </c>
    </row>
    <row r="226">
      <c r="A226" s="14" t="s">
        <v>1959</v>
      </c>
      <c r="B226" s="14" t="s">
        <v>386</v>
      </c>
      <c r="C226" s="14" t="s">
        <v>1882</v>
      </c>
      <c r="D226" s="14" t="s">
        <v>1920</v>
      </c>
      <c r="E226" s="14" t="s">
        <v>1921</v>
      </c>
      <c r="F226" s="14">
        <v>2025.0</v>
      </c>
      <c r="G226" s="14" t="s">
        <v>32</v>
      </c>
      <c r="H226" s="14" t="s">
        <v>33</v>
      </c>
      <c r="I226" s="14" t="s">
        <v>34</v>
      </c>
      <c r="J226" s="14" t="s">
        <v>35</v>
      </c>
      <c r="K226" s="15" t="s">
        <v>1960</v>
      </c>
      <c r="L226" s="14" t="s">
        <v>1961</v>
      </c>
      <c r="M226" s="14">
        <v>12.0</v>
      </c>
      <c r="N226" s="14" t="s">
        <v>1962</v>
      </c>
      <c r="O226" s="14" t="s">
        <v>1963</v>
      </c>
      <c r="P226" s="14" t="s">
        <v>1964</v>
      </c>
      <c r="Q226" s="14" t="s">
        <v>41</v>
      </c>
      <c r="R226" s="14" t="s">
        <v>1027</v>
      </c>
      <c r="S226" s="14" t="s">
        <v>1028</v>
      </c>
      <c r="T226" s="14" t="s">
        <v>198</v>
      </c>
      <c r="U226" s="14" t="s">
        <v>45</v>
      </c>
      <c r="V226" s="14" t="s">
        <v>1965</v>
      </c>
      <c r="W226" s="14" t="s">
        <v>47</v>
      </c>
      <c r="X226" s="15" t="s">
        <v>1966</v>
      </c>
      <c r="Y226" s="14" t="s">
        <v>1595</v>
      </c>
      <c r="Z226" s="14" t="s">
        <v>50</v>
      </c>
    </row>
    <row r="227">
      <c r="A227" s="14" t="s">
        <v>1967</v>
      </c>
      <c r="B227" s="14" t="s">
        <v>386</v>
      </c>
      <c r="C227" s="14" t="s">
        <v>1882</v>
      </c>
      <c r="D227" s="14" t="s">
        <v>1920</v>
      </c>
      <c r="E227" s="14" t="s">
        <v>1921</v>
      </c>
      <c r="F227" s="14">
        <v>2025.0</v>
      </c>
      <c r="G227" s="14" t="s">
        <v>32</v>
      </c>
      <c r="H227" s="14" t="s">
        <v>33</v>
      </c>
      <c r="I227" s="14" t="s">
        <v>34</v>
      </c>
      <c r="J227" s="14" t="s">
        <v>35</v>
      </c>
      <c r="K227" s="15" t="s">
        <v>1968</v>
      </c>
      <c r="L227" s="14" t="s">
        <v>1969</v>
      </c>
      <c r="M227" s="14">
        <v>10.0</v>
      </c>
      <c r="N227" s="14" t="s">
        <v>1970</v>
      </c>
      <c r="O227" s="14" t="s">
        <v>1971</v>
      </c>
      <c r="P227" s="14" t="s">
        <v>1972</v>
      </c>
      <c r="Q227" s="14" t="s">
        <v>41</v>
      </c>
      <c r="R227" s="14" t="s">
        <v>273</v>
      </c>
      <c r="S227" s="14" t="s">
        <v>548</v>
      </c>
      <c r="T227" s="14" t="s">
        <v>104</v>
      </c>
      <c r="U227" s="14" t="s">
        <v>45</v>
      </c>
      <c r="V227" s="14" t="s">
        <v>1973</v>
      </c>
      <c r="W227" s="14" t="s">
        <v>47</v>
      </c>
      <c r="X227" s="15" t="s">
        <v>1974</v>
      </c>
      <c r="Y227" s="14" t="s">
        <v>1595</v>
      </c>
      <c r="Z227" s="14" t="s">
        <v>50</v>
      </c>
    </row>
    <row r="228">
      <c r="A228" s="14" t="s">
        <v>1975</v>
      </c>
      <c r="B228" s="14" t="s">
        <v>386</v>
      </c>
      <c r="C228" s="14" t="s">
        <v>1882</v>
      </c>
      <c r="D228" s="14" t="s">
        <v>1920</v>
      </c>
      <c r="E228" s="14" t="s">
        <v>1921</v>
      </c>
      <c r="F228" s="14">
        <v>2025.0</v>
      </c>
      <c r="G228" s="14" t="s">
        <v>32</v>
      </c>
      <c r="H228" s="14" t="s">
        <v>33</v>
      </c>
      <c r="I228" s="14" t="s">
        <v>34</v>
      </c>
      <c r="J228" s="14" t="s">
        <v>35</v>
      </c>
      <c r="K228" s="15" t="s">
        <v>1976</v>
      </c>
      <c r="L228" s="14" t="s">
        <v>1977</v>
      </c>
      <c r="M228" s="14">
        <v>24.0</v>
      </c>
      <c r="N228" s="14" t="s">
        <v>1978</v>
      </c>
      <c r="O228" s="14" t="s">
        <v>1979</v>
      </c>
      <c r="P228" s="14" t="s">
        <v>1980</v>
      </c>
      <c r="Q228" s="14" t="s">
        <v>41</v>
      </c>
      <c r="R228" s="14" t="s">
        <v>273</v>
      </c>
      <c r="S228" s="14" t="s">
        <v>383</v>
      </c>
      <c r="T228" s="14" t="s">
        <v>198</v>
      </c>
      <c r="U228" s="14" t="s">
        <v>45</v>
      </c>
      <c r="V228" s="14" t="s">
        <v>1981</v>
      </c>
      <c r="W228" s="14" t="s">
        <v>47</v>
      </c>
      <c r="X228" s="15" t="s">
        <v>1982</v>
      </c>
      <c r="Y228" s="14" t="s">
        <v>1595</v>
      </c>
      <c r="Z228" s="14" t="s">
        <v>50</v>
      </c>
    </row>
    <row r="229">
      <c r="A229" s="14" t="s">
        <v>1983</v>
      </c>
      <c r="B229" s="14" t="s">
        <v>386</v>
      </c>
      <c r="C229" s="14" t="s">
        <v>1984</v>
      </c>
      <c r="D229" s="14" t="s">
        <v>1985</v>
      </c>
      <c r="E229" s="14" t="s">
        <v>1986</v>
      </c>
      <c r="F229" s="14">
        <v>2025.0</v>
      </c>
      <c r="G229" s="14" t="s">
        <v>1131</v>
      </c>
      <c r="H229" s="14" t="s">
        <v>1132</v>
      </c>
      <c r="I229" s="14" t="s">
        <v>1133</v>
      </c>
      <c r="J229" s="14" t="s">
        <v>1987</v>
      </c>
      <c r="K229" s="15" t="s">
        <v>1988</v>
      </c>
      <c r="L229" s="14" t="s">
        <v>1989</v>
      </c>
      <c r="M229" s="14">
        <v>26.0</v>
      </c>
      <c r="N229" s="14" t="s">
        <v>1990</v>
      </c>
      <c r="O229" s="14" t="s">
        <v>1991</v>
      </c>
      <c r="P229" s="14" t="s">
        <v>1992</v>
      </c>
      <c r="Q229" s="14" t="s">
        <v>41</v>
      </c>
      <c r="R229" s="14" t="s">
        <v>42</v>
      </c>
      <c r="S229" s="14" t="s">
        <v>153</v>
      </c>
      <c r="T229" s="14" t="s">
        <v>58</v>
      </c>
      <c r="U229" s="14" t="s">
        <v>45</v>
      </c>
      <c r="V229" s="14" t="s">
        <v>1993</v>
      </c>
      <c r="W229" s="14" t="s">
        <v>47</v>
      </c>
      <c r="X229" s="15" t="s">
        <v>1994</v>
      </c>
      <c r="Y229" s="14" t="s">
        <v>1595</v>
      </c>
      <c r="Z229" s="14" t="s">
        <v>50</v>
      </c>
    </row>
    <row r="230">
      <c r="A230" s="14" t="s">
        <v>1995</v>
      </c>
      <c r="B230" s="14" t="s">
        <v>386</v>
      </c>
      <c r="C230" s="14" t="s">
        <v>1984</v>
      </c>
      <c r="D230" s="14" t="s">
        <v>1985</v>
      </c>
      <c r="E230" s="14" t="s">
        <v>1986</v>
      </c>
      <c r="F230" s="14">
        <v>2025.0</v>
      </c>
      <c r="G230" s="14" t="s">
        <v>1131</v>
      </c>
      <c r="H230" s="14" t="s">
        <v>1132</v>
      </c>
      <c r="I230" s="14" t="s">
        <v>1133</v>
      </c>
      <c r="J230" s="14" t="s">
        <v>390</v>
      </c>
      <c r="K230" s="15" t="s">
        <v>1996</v>
      </c>
      <c r="L230" s="14" t="s">
        <v>1989</v>
      </c>
      <c r="M230" s="14">
        <v>33.0</v>
      </c>
      <c r="N230" s="14" t="s">
        <v>1997</v>
      </c>
      <c r="O230" s="14" t="s">
        <v>1998</v>
      </c>
      <c r="P230" s="14" t="s">
        <v>1999</v>
      </c>
      <c r="Q230" s="14" t="s">
        <v>41</v>
      </c>
      <c r="R230" s="14" t="s">
        <v>42</v>
      </c>
      <c r="S230" s="14" t="s">
        <v>522</v>
      </c>
      <c r="T230" s="14" t="s">
        <v>139</v>
      </c>
      <c r="U230" s="14" t="s">
        <v>45</v>
      </c>
      <c r="V230" s="14" t="s">
        <v>2000</v>
      </c>
      <c r="W230" s="14" t="s">
        <v>47</v>
      </c>
      <c r="X230" s="15" t="s">
        <v>2001</v>
      </c>
      <c r="Y230" s="14" t="s">
        <v>1595</v>
      </c>
      <c r="Z230" s="14" t="s">
        <v>50</v>
      </c>
    </row>
    <row r="231">
      <c r="A231" s="14" t="s">
        <v>2002</v>
      </c>
      <c r="B231" s="14" t="s">
        <v>386</v>
      </c>
      <c r="C231" s="14" t="s">
        <v>1984</v>
      </c>
      <c r="D231" s="14" t="s">
        <v>1985</v>
      </c>
      <c r="E231" s="14" t="s">
        <v>1986</v>
      </c>
      <c r="F231" s="14">
        <v>2025.0</v>
      </c>
      <c r="G231" s="14" t="s">
        <v>1218</v>
      </c>
      <c r="H231" s="14" t="s">
        <v>1132</v>
      </c>
      <c r="I231" s="14" t="s">
        <v>1133</v>
      </c>
      <c r="J231" s="14" t="s">
        <v>390</v>
      </c>
      <c r="K231" s="15" t="s">
        <v>2003</v>
      </c>
      <c r="L231" s="14" t="s">
        <v>1825</v>
      </c>
      <c r="M231" s="14">
        <v>31.0</v>
      </c>
      <c r="N231" s="14" t="s">
        <v>2004</v>
      </c>
      <c r="O231" s="14" t="s">
        <v>2005</v>
      </c>
      <c r="P231" s="14" t="s">
        <v>2006</v>
      </c>
      <c r="Q231" s="14" t="s">
        <v>41</v>
      </c>
      <c r="R231" s="14" t="s">
        <v>42</v>
      </c>
      <c r="S231" s="14" t="s">
        <v>522</v>
      </c>
      <c r="T231" s="14" t="s">
        <v>44</v>
      </c>
      <c r="U231" s="14" t="s">
        <v>45</v>
      </c>
      <c r="V231" s="14" t="s">
        <v>2007</v>
      </c>
      <c r="W231" s="14" t="s">
        <v>1079</v>
      </c>
      <c r="X231" s="15" t="s">
        <v>2008</v>
      </c>
      <c r="Y231" s="14" t="s">
        <v>1595</v>
      </c>
      <c r="Z231" s="14" t="s">
        <v>50</v>
      </c>
    </row>
    <row r="232">
      <c r="A232" s="14" t="s">
        <v>2009</v>
      </c>
      <c r="B232" s="14" t="s">
        <v>386</v>
      </c>
      <c r="C232" s="14" t="s">
        <v>1984</v>
      </c>
      <c r="D232" s="14" t="s">
        <v>2010</v>
      </c>
      <c r="E232" s="14" t="s">
        <v>2011</v>
      </c>
      <c r="F232" s="14">
        <v>2024.0</v>
      </c>
      <c r="G232" s="14" t="s">
        <v>1131</v>
      </c>
      <c r="H232" s="14" t="s">
        <v>1132</v>
      </c>
      <c r="I232" s="14" t="s">
        <v>1133</v>
      </c>
      <c r="J232" s="14" t="s">
        <v>390</v>
      </c>
      <c r="K232" s="15" t="s">
        <v>2012</v>
      </c>
      <c r="L232" s="14" t="s">
        <v>2013</v>
      </c>
      <c r="M232" s="14">
        <v>41.0</v>
      </c>
      <c r="N232" s="14" t="s">
        <v>2014</v>
      </c>
      <c r="O232" s="14" t="s">
        <v>2015</v>
      </c>
      <c r="P232" s="14" t="s">
        <v>2016</v>
      </c>
      <c r="Q232" s="14" t="s">
        <v>41</v>
      </c>
      <c r="R232" s="14" t="s">
        <v>56</v>
      </c>
      <c r="S232" s="14" t="s">
        <v>714</v>
      </c>
      <c r="T232" s="14" t="s">
        <v>58</v>
      </c>
      <c r="U232" s="14" t="s">
        <v>45</v>
      </c>
      <c r="V232" s="14" t="s">
        <v>2017</v>
      </c>
      <c r="W232" s="14" t="s">
        <v>47</v>
      </c>
      <c r="X232" s="15" t="s">
        <v>2018</v>
      </c>
      <c r="Y232" s="14" t="s">
        <v>1595</v>
      </c>
      <c r="Z232" s="14" t="s">
        <v>50</v>
      </c>
    </row>
    <row r="233">
      <c r="A233" s="14" t="s">
        <v>2019</v>
      </c>
      <c r="B233" s="14" t="s">
        <v>386</v>
      </c>
      <c r="C233" s="14" t="s">
        <v>1984</v>
      </c>
      <c r="D233" s="14" t="s">
        <v>2020</v>
      </c>
      <c r="E233" s="14" t="s">
        <v>2021</v>
      </c>
      <c r="F233" s="14">
        <v>2024.0</v>
      </c>
      <c r="G233" s="14" t="s">
        <v>1131</v>
      </c>
      <c r="H233" s="14" t="s">
        <v>1132</v>
      </c>
      <c r="I233" s="14" t="s">
        <v>1133</v>
      </c>
      <c r="J233" s="14" t="s">
        <v>390</v>
      </c>
      <c r="K233" s="15" t="s">
        <v>2022</v>
      </c>
      <c r="L233" s="14" t="s">
        <v>1989</v>
      </c>
      <c r="M233" s="14">
        <v>30.0</v>
      </c>
      <c r="N233" s="14" t="s">
        <v>2023</v>
      </c>
      <c r="O233" s="14" t="s">
        <v>2024</v>
      </c>
      <c r="P233" s="14" t="s">
        <v>2025</v>
      </c>
      <c r="Q233" s="14" t="s">
        <v>41</v>
      </c>
      <c r="R233" s="14" t="s">
        <v>42</v>
      </c>
      <c r="S233" s="14" t="s">
        <v>153</v>
      </c>
      <c r="T233" s="14" t="s">
        <v>58</v>
      </c>
      <c r="U233" s="14" t="s">
        <v>45</v>
      </c>
      <c r="V233" s="14" t="s">
        <v>2026</v>
      </c>
      <c r="W233" s="14" t="s">
        <v>47</v>
      </c>
      <c r="X233" s="15" t="s">
        <v>2027</v>
      </c>
      <c r="Y233" s="14" t="s">
        <v>1595</v>
      </c>
      <c r="Z233" s="14" t="s">
        <v>50</v>
      </c>
    </row>
    <row r="234">
      <c r="A234" s="14" t="s">
        <v>2028</v>
      </c>
      <c r="B234" s="14" t="s">
        <v>386</v>
      </c>
      <c r="C234" s="14" t="s">
        <v>1984</v>
      </c>
      <c r="D234" s="14" t="s">
        <v>2020</v>
      </c>
      <c r="E234" s="14" t="s">
        <v>2021</v>
      </c>
      <c r="F234" s="14">
        <v>2024.0</v>
      </c>
      <c r="G234" s="14" t="s">
        <v>1131</v>
      </c>
      <c r="H234" s="14" t="s">
        <v>1132</v>
      </c>
      <c r="I234" s="14" t="s">
        <v>1133</v>
      </c>
      <c r="J234" s="14" t="s">
        <v>390</v>
      </c>
      <c r="K234" s="15" t="s">
        <v>2029</v>
      </c>
      <c r="L234" s="14" t="s">
        <v>2030</v>
      </c>
      <c r="M234" s="14">
        <v>30.0</v>
      </c>
      <c r="N234" s="14" t="s">
        <v>2031</v>
      </c>
      <c r="O234" s="14" t="s">
        <v>2032</v>
      </c>
      <c r="P234" s="14" t="s">
        <v>2033</v>
      </c>
      <c r="Q234" s="14" t="s">
        <v>41</v>
      </c>
      <c r="R234" s="14" t="s">
        <v>404</v>
      </c>
      <c r="S234" s="14" t="s">
        <v>405</v>
      </c>
      <c r="T234" s="14" t="s">
        <v>178</v>
      </c>
      <c r="U234" s="14" t="s">
        <v>45</v>
      </c>
      <c r="V234" s="14" t="s">
        <v>2034</v>
      </c>
      <c r="W234" s="14" t="s">
        <v>47</v>
      </c>
      <c r="X234" s="15" t="s">
        <v>2035</v>
      </c>
      <c r="Y234" s="14" t="s">
        <v>1595</v>
      </c>
      <c r="Z234" s="14" t="s">
        <v>50</v>
      </c>
    </row>
    <row r="235">
      <c r="A235" s="14" t="s">
        <v>2036</v>
      </c>
      <c r="B235" s="14" t="s">
        <v>386</v>
      </c>
      <c r="C235" s="14" t="s">
        <v>1984</v>
      </c>
      <c r="D235" s="14" t="s">
        <v>2037</v>
      </c>
      <c r="E235" s="14" t="s">
        <v>2038</v>
      </c>
      <c r="F235" s="14">
        <v>2025.0</v>
      </c>
      <c r="G235" s="14" t="s">
        <v>1864</v>
      </c>
      <c r="H235" s="14" t="s">
        <v>1865</v>
      </c>
      <c r="I235" s="14" t="s">
        <v>34</v>
      </c>
      <c r="J235" s="14" t="s">
        <v>390</v>
      </c>
      <c r="K235" s="15" t="s">
        <v>2039</v>
      </c>
      <c r="L235" s="14" t="s">
        <v>1850</v>
      </c>
      <c r="M235" s="14">
        <v>41.0</v>
      </c>
      <c r="N235" s="14" t="s">
        <v>2040</v>
      </c>
      <c r="O235" s="14" t="s">
        <v>2041</v>
      </c>
      <c r="P235" s="14" t="s">
        <v>2042</v>
      </c>
      <c r="Q235" s="14" t="s">
        <v>41</v>
      </c>
      <c r="R235" s="14" t="s">
        <v>1027</v>
      </c>
      <c r="S235" s="14" t="s">
        <v>1028</v>
      </c>
      <c r="T235" s="14" t="s">
        <v>198</v>
      </c>
      <c r="U235" s="14" t="s">
        <v>45</v>
      </c>
      <c r="V235" s="14" t="s">
        <v>2043</v>
      </c>
      <c r="W235" s="14" t="s">
        <v>47</v>
      </c>
      <c r="X235" s="15" t="s">
        <v>2044</v>
      </c>
      <c r="Y235" s="14" t="s">
        <v>1595</v>
      </c>
      <c r="Z235" s="14" t="s">
        <v>50</v>
      </c>
    </row>
    <row r="236">
      <c r="A236" s="14" t="s">
        <v>2045</v>
      </c>
      <c r="B236" s="14" t="s">
        <v>386</v>
      </c>
      <c r="C236" s="14" t="s">
        <v>1984</v>
      </c>
      <c r="D236" s="14" t="s">
        <v>2037</v>
      </c>
      <c r="E236" s="14" t="s">
        <v>2038</v>
      </c>
      <c r="F236" s="14">
        <v>2025.0</v>
      </c>
      <c r="G236" s="14" t="s">
        <v>1864</v>
      </c>
      <c r="H236" s="14" t="s">
        <v>1865</v>
      </c>
      <c r="I236" s="14" t="s">
        <v>34</v>
      </c>
      <c r="J236" s="14" t="s">
        <v>1987</v>
      </c>
      <c r="K236" s="15" t="s">
        <v>2046</v>
      </c>
      <c r="L236" s="14" t="s">
        <v>2047</v>
      </c>
      <c r="M236" s="14">
        <v>26.0</v>
      </c>
      <c r="N236" s="14" t="s">
        <v>2048</v>
      </c>
      <c r="O236" s="14" t="s">
        <v>2049</v>
      </c>
      <c r="P236" s="14" t="s">
        <v>2050</v>
      </c>
      <c r="Q236" s="14" t="s">
        <v>41</v>
      </c>
      <c r="R236" s="14" t="s">
        <v>42</v>
      </c>
      <c r="S236" s="14" t="s">
        <v>153</v>
      </c>
      <c r="T236" s="14" t="s">
        <v>58</v>
      </c>
      <c r="U236" s="14" t="s">
        <v>45</v>
      </c>
      <c r="V236" s="14" t="s">
        <v>2051</v>
      </c>
      <c r="W236" s="14" t="s">
        <v>47</v>
      </c>
      <c r="X236" s="15" t="s">
        <v>2052</v>
      </c>
      <c r="Y236" s="14" t="s">
        <v>1595</v>
      </c>
      <c r="Z236" s="14" t="s">
        <v>50</v>
      </c>
    </row>
    <row r="237">
      <c r="A237" s="14" t="s">
        <v>2053</v>
      </c>
      <c r="B237" s="14" t="s">
        <v>386</v>
      </c>
      <c r="C237" s="14" t="s">
        <v>1984</v>
      </c>
      <c r="D237" s="14" t="s">
        <v>2054</v>
      </c>
      <c r="E237" s="14" t="s">
        <v>2055</v>
      </c>
      <c r="F237" s="14">
        <v>2025.0</v>
      </c>
      <c r="G237" s="14" t="s">
        <v>1131</v>
      </c>
      <c r="H237" s="14" t="s">
        <v>1132</v>
      </c>
      <c r="I237" s="14" t="s">
        <v>1133</v>
      </c>
      <c r="J237" s="14" t="s">
        <v>390</v>
      </c>
      <c r="K237" s="15" t="s">
        <v>2056</v>
      </c>
      <c r="L237" s="14" t="s">
        <v>1989</v>
      </c>
      <c r="M237" s="14">
        <v>27.0</v>
      </c>
      <c r="N237" s="14" t="s">
        <v>2057</v>
      </c>
      <c r="O237" s="14" t="s">
        <v>2058</v>
      </c>
      <c r="P237" s="14" t="s">
        <v>2059</v>
      </c>
      <c r="Q237" s="14" t="s">
        <v>41</v>
      </c>
      <c r="R237" s="14" t="s">
        <v>404</v>
      </c>
      <c r="S237" s="14" t="s">
        <v>360</v>
      </c>
      <c r="T237" s="14" t="s">
        <v>104</v>
      </c>
      <c r="U237" s="14" t="s">
        <v>45</v>
      </c>
      <c r="V237" s="14" t="s">
        <v>2060</v>
      </c>
      <c r="W237" s="14" t="s">
        <v>47</v>
      </c>
      <c r="X237" s="15" t="s">
        <v>2061</v>
      </c>
      <c r="Y237" s="14" t="s">
        <v>1595</v>
      </c>
      <c r="Z237" s="14" t="s">
        <v>50</v>
      </c>
    </row>
    <row r="238">
      <c r="A238" s="14" t="s">
        <v>2062</v>
      </c>
      <c r="B238" s="14" t="s">
        <v>386</v>
      </c>
      <c r="C238" s="14" t="s">
        <v>1984</v>
      </c>
      <c r="D238" s="14" t="s">
        <v>2054</v>
      </c>
      <c r="E238" s="14" t="s">
        <v>2055</v>
      </c>
      <c r="F238" s="14">
        <v>2025.0</v>
      </c>
      <c r="G238" s="14" t="s">
        <v>1131</v>
      </c>
      <c r="H238" s="14" t="s">
        <v>1132</v>
      </c>
      <c r="I238" s="14" t="s">
        <v>1133</v>
      </c>
      <c r="J238" s="14" t="s">
        <v>390</v>
      </c>
      <c r="K238" s="15" t="s">
        <v>2063</v>
      </c>
      <c r="L238" s="14" t="s">
        <v>1989</v>
      </c>
      <c r="M238" s="14">
        <v>15.0</v>
      </c>
      <c r="N238" s="14" t="s">
        <v>2064</v>
      </c>
      <c r="O238" s="14" t="s">
        <v>2065</v>
      </c>
      <c r="P238" s="14" t="s">
        <v>2066</v>
      </c>
      <c r="Q238" s="14" t="s">
        <v>41</v>
      </c>
      <c r="R238" s="14" t="s">
        <v>42</v>
      </c>
      <c r="S238" s="14" t="s">
        <v>1844</v>
      </c>
      <c r="T238" s="14" t="s">
        <v>44</v>
      </c>
      <c r="U238" s="14" t="s">
        <v>45</v>
      </c>
      <c r="V238" s="14" t="s">
        <v>2067</v>
      </c>
      <c r="W238" s="14" t="s">
        <v>47</v>
      </c>
      <c r="X238" s="15" t="s">
        <v>2068</v>
      </c>
      <c r="Y238" s="14" t="s">
        <v>1595</v>
      </c>
      <c r="Z238" s="14" t="s">
        <v>50</v>
      </c>
    </row>
    <row r="239">
      <c r="A239" s="14" t="s">
        <v>2069</v>
      </c>
      <c r="B239" s="14" t="s">
        <v>386</v>
      </c>
      <c r="C239" s="14" t="s">
        <v>1984</v>
      </c>
      <c r="D239" s="14" t="s">
        <v>2054</v>
      </c>
      <c r="E239" s="14" t="s">
        <v>2055</v>
      </c>
      <c r="F239" s="14">
        <v>2025.0</v>
      </c>
      <c r="G239" s="14" t="s">
        <v>1131</v>
      </c>
      <c r="H239" s="14" t="s">
        <v>1132</v>
      </c>
      <c r="I239" s="14" t="s">
        <v>1133</v>
      </c>
      <c r="J239" s="14" t="s">
        <v>390</v>
      </c>
      <c r="K239" s="15" t="s">
        <v>2070</v>
      </c>
      <c r="L239" s="14" t="s">
        <v>1989</v>
      </c>
      <c r="M239" s="14">
        <v>19.0</v>
      </c>
      <c r="N239" s="14" t="s">
        <v>2071</v>
      </c>
      <c r="O239" s="14" t="s">
        <v>2072</v>
      </c>
      <c r="P239" s="14" t="s">
        <v>2073</v>
      </c>
      <c r="Q239" s="14" t="s">
        <v>41</v>
      </c>
      <c r="R239" s="14" t="s">
        <v>56</v>
      </c>
      <c r="S239" s="14" t="s">
        <v>153</v>
      </c>
      <c r="T239" s="14" t="s">
        <v>58</v>
      </c>
      <c r="U239" s="14" t="s">
        <v>45</v>
      </c>
      <c r="V239" s="14" t="s">
        <v>2074</v>
      </c>
      <c r="W239" s="14" t="s">
        <v>47</v>
      </c>
      <c r="X239" s="15" t="s">
        <v>2075</v>
      </c>
      <c r="Y239" s="14" t="s">
        <v>1595</v>
      </c>
      <c r="Z239" s="14" t="s">
        <v>50</v>
      </c>
    </row>
    <row r="240">
      <c r="A240" s="14" t="s">
        <v>2076</v>
      </c>
      <c r="B240" s="14" t="s">
        <v>386</v>
      </c>
      <c r="C240" s="14" t="s">
        <v>1984</v>
      </c>
      <c r="D240" s="14" t="s">
        <v>2054</v>
      </c>
      <c r="E240" s="14" t="s">
        <v>2055</v>
      </c>
      <c r="F240" s="14">
        <v>2025.0</v>
      </c>
      <c r="G240" s="14" t="s">
        <v>1131</v>
      </c>
      <c r="H240" s="14" t="s">
        <v>1132</v>
      </c>
      <c r="I240" s="14" t="s">
        <v>1133</v>
      </c>
      <c r="J240" s="14" t="s">
        <v>390</v>
      </c>
      <c r="K240" s="15" t="s">
        <v>2077</v>
      </c>
      <c r="L240" s="14" t="s">
        <v>1989</v>
      </c>
      <c r="M240" s="14">
        <v>16.0</v>
      </c>
      <c r="N240" s="14" t="s">
        <v>2078</v>
      </c>
      <c r="O240" s="14" t="s">
        <v>2079</v>
      </c>
      <c r="P240" s="14" t="s">
        <v>2080</v>
      </c>
      <c r="Q240" s="14" t="s">
        <v>41</v>
      </c>
      <c r="R240" s="14" t="s">
        <v>42</v>
      </c>
      <c r="S240" s="14" t="s">
        <v>1844</v>
      </c>
      <c r="T240" s="14" t="s">
        <v>104</v>
      </c>
      <c r="U240" s="14" t="s">
        <v>45</v>
      </c>
      <c r="V240" s="14" t="s">
        <v>46</v>
      </c>
      <c r="W240" s="14" t="s">
        <v>47</v>
      </c>
      <c r="X240" s="15" t="s">
        <v>2081</v>
      </c>
      <c r="Y240" s="14" t="s">
        <v>1595</v>
      </c>
      <c r="Z240" s="14" t="s">
        <v>50</v>
      </c>
    </row>
    <row r="241">
      <c r="A241" s="14" t="s">
        <v>2082</v>
      </c>
      <c r="B241" s="14" t="s">
        <v>2083</v>
      </c>
      <c r="C241" s="14" t="s">
        <v>2084</v>
      </c>
      <c r="D241" s="14" t="s">
        <v>2085</v>
      </c>
      <c r="E241" s="14" t="s">
        <v>2086</v>
      </c>
      <c r="F241" s="14">
        <v>2025.0</v>
      </c>
      <c r="G241" s="14" t="s">
        <v>1131</v>
      </c>
      <c r="H241" s="14" t="s">
        <v>1132</v>
      </c>
      <c r="I241" s="14" t="s">
        <v>1133</v>
      </c>
      <c r="J241" s="14" t="s">
        <v>390</v>
      </c>
      <c r="K241" s="15" t="s">
        <v>2087</v>
      </c>
      <c r="L241" s="14" t="s">
        <v>1825</v>
      </c>
      <c r="M241" s="14">
        <v>24.0</v>
      </c>
      <c r="N241" s="14" t="s">
        <v>2088</v>
      </c>
      <c r="O241" s="14" t="s">
        <v>2089</v>
      </c>
      <c r="P241" s="14" t="s">
        <v>2090</v>
      </c>
      <c r="Q241" s="14" t="s">
        <v>41</v>
      </c>
      <c r="R241" s="14" t="s">
        <v>404</v>
      </c>
      <c r="S241" s="14" t="s">
        <v>153</v>
      </c>
      <c r="T241" s="14" t="s">
        <v>58</v>
      </c>
      <c r="U241" s="14" t="s">
        <v>45</v>
      </c>
      <c r="V241" s="14" t="s">
        <v>2091</v>
      </c>
      <c r="W241" s="14" t="s">
        <v>47</v>
      </c>
      <c r="X241" s="15" t="s">
        <v>2092</v>
      </c>
      <c r="Y241" s="14" t="s">
        <v>1595</v>
      </c>
      <c r="Z241" s="14" t="s">
        <v>50</v>
      </c>
    </row>
    <row r="242">
      <c r="A242" s="14" t="s">
        <v>2093</v>
      </c>
      <c r="B242" s="14" t="s">
        <v>386</v>
      </c>
      <c r="C242" s="14" t="s">
        <v>2094</v>
      </c>
      <c r="D242" s="14" t="s">
        <v>2095</v>
      </c>
      <c r="E242" s="14" t="s">
        <v>2096</v>
      </c>
      <c r="F242" s="14">
        <v>2025.0</v>
      </c>
      <c r="G242" s="14" t="s">
        <v>1218</v>
      </c>
      <c r="H242" s="14" t="s">
        <v>1132</v>
      </c>
      <c r="I242" s="14" t="s">
        <v>1133</v>
      </c>
      <c r="J242" s="14" t="s">
        <v>390</v>
      </c>
      <c r="K242" s="15" t="s">
        <v>2097</v>
      </c>
      <c r="L242" s="14" t="s">
        <v>1850</v>
      </c>
      <c r="M242" s="14">
        <v>36.0</v>
      </c>
      <c r="N242" s="14" t="s">
        <v>2098</v>
      </c>
      <c r="O242" s="14" t="s">
        <v>2099</v>
      </c>
      <c r="P242" s="14" t="s">
        <v>2100</v>
      </c>
      <c r="Q242" s="14" t="s">
        <v>41</v>
      </c>
      <c r="R242" s="14" t="s">
        <v>42</v>
      </c>
      <c r="S242" s="14" t="s">
        <v>522</v>
      </c>
      <c r="T242" s="14" t="s">
        <v>139</v>
      </c>
      <c r="U242" s="14" t="s">
        <v>45</v>
      </c>
      <c r="V242" s="14" t="s">
        <v>2101</v>
      </c>
      <c r="W242" s="14" t="s">
        <v>47</v>
      </c>
      <c r="X242" s="15" t="s">
        <v>2102</v>
      </c>
      <c r="Y242" s="14" t="s">
        <v>1595</v>
      </c>
      <c r="Z242" s="14" t="s">
        <v>50</v>
      </c>
    </row>
    <row r="243">
      <c r="A243" s="14" t="s">
        <v>2103</v>
      </c>
      <c r="B243" s="14" t="s">
        <v>386</v>
      </c>
      <c r="C243" s="14" t="s">
        <v>2094</v>
      </c>
      <c r="D243" s="14" t="s">
        <v>2095</v>
      </c>
      <c r="E243" s="14" t="s">
        <v>2096</v>
      </c>
      <c r="F243" s="14">
        <v>2025.0</v>
      </c>
      <c r="G243" s="14" t="s">
        <v>32</v>
      </c>
      <c r="H243" s="14" t="s">
        <v>33</v>
      </c>
      <c r="I243" s="14" t="s">
        <v>34</v>
      </c>
      <c r="J243" s="14" t="s">
        <v>35</v>
      </c>
      <c r="K243" s="15" t="s">
        <v>2104</v>
      </c>
      <c r="L243" s="14" t="s">
        <v>2105</v>
      </c>
      <c r="M243" s="14">
        <v>39.0</v>
      </c>
      <c r="N243" s="14" t="s">
        <v>2106</v>
      </c>
      <c r="O243" s="14" t="s">
        <v>2107</v>
      </c>
      <c r="P243" s="14" t="s">
        <v>2108</v>
      </c>
      <c r="Q243" s="14" t="s">
        <v>41</v>
      </c>
      <c r="R243" s="14" t="s">
        <v>1027</v>
      </c>
      <c r="S243" s="14" t="s">
        <v>1028</v>
      </c>
      <c r="T243" s="14" t="s">
        <v>198</v>
      </c>
      <c r="U243" s="14" t="s">
        <v>45</v>
      </c>
      <c r="V243" s="14" t="s">
        <v>2109</v>
      </c>
      <c r="W243" s="14" t="s">
        <v>47</v>
      </c>
      <c r="X243" s="15" t="s">
        <v>2110</v>
      </c>
      <c r="Y243" s="14" t="s">
        <v>1595</v>
      </c>
      <c r="Z243" s="14" t="s">
        <v>50</v>
      </c>
    </row>
    <row r="244">
      <c r="A244" s="14" t="s">
        <v>2111</v>
      </c>
      <c r="B244" s="14" t="s">
        <v>386</v>
      </c>
      <c r="C244" s="14" t="s">
        <v>2094</v>
      </c>
      <c r="D244" s="14" t="s">
        <v>2095</v>
      </c>
      <c r="E244" s="14" t="s">
        <v>2096</v>
      </c>
      <c r="F244" s="14">
        <v>2025.0</v>
      </c>
      <c r="G244" s="14" t="s">
        <v>1218</v>
      </c>
      <c r="H244" s="14" t="s">
        <v>1132</v>
      </c>
      <c r="I244" s="14" t="s">
        <v>1133</v>
      </c>
      <c r="J244" s="14" t="s">
        <v>390</v>
      </c>
      <c r="K244" s="15" t="s">
        <v>2112</v>
      </c>
      <c r="L244" s="14" t="s">
        <v>2105</v>
      </c>
      <c r="M244" s="14">
        <v>36.0</v>
      </c>
      <c r="N244" s="14" t="s">
        <v>2113</v>
      </c>
      <c r="O244" s="14" t="s">
        <v>2114</v>
      </c>
      <c r="P244" s="14" t="s">
        <v>2115</v>
      </c>
      <c r="Q244" s="14" t="s">
        <v>41</v>
      </c>
      <c r="R244" s="14" t="s">
        <v>42</v>
      </c>
      <c r="S244" s="14" t="s">
        <v>522</v>
      </c>
      <c r="T244" s="14" t="s">
        <v>44</v>
      </c>
      <c r="U244" s="14" t="s">
        <v>45</v>
      </c>
      <c r="V244" s="14" t="s">
        <v>2116</v>
      </c>
      <c r="W244" s="14" t="s">
        <v>47</v>
      </c>
      <c r="X244" s="15" t="s">
        <v>2117</v>
      </c>
      <c r="Y244" s="14" t="s">
        <v>1595</v>
      </c>
      <c r="Z244" s="14" t="s">
        <v>50</v>
      </c>
    </row>
    <row r="245">
      <c r="A245" s="14" t="s">
        <v>2118</v>
      </c>
      <c r="B245" s="14" t="s">
        <v>386</v>
      </c>
      <c r="C245" s="14" t="s">
        <v>2094</v>
      </c>
      <c r="D245" s="14" t="s">
        <v>2095</v>
      </c>
      <c r="E245" s="14" t="s">
        <v>2096</v>
      </c>
      <c r="F245" s="14">
        <v>2025.0</v>
      </c>
      <c r="G245" s="14" t="s">
        <v>1218</v>
      </c>
      <c r="H245" s="14" t="s">
        <v>1132</v>
      </c>
      <c r="I245" s="14" t="s">
        <v>1133</v>
      </c>
      <c r="J245" s="14" t="s">
        <v>1987</v>
      </c>
      <c r="K245" s="15" t="s">
        <v>2119</v>
      </c>
      <c r="L245" s="14" t="s">
        <v>1840</v>
      </c>
      <c r="M245" s="14">
        <v>35.0</v>
      </c>
      <c r="N245" s="14" t="s">
        <v>2120</v>
      </c>
      <c r="O245" s="14" t="s">
        <v>2121</v>
      </c>
      <c r="P245" s="14" t="s">
        <v>2122</v>
      </c>
      <c r="Q245" s="14" t="s">
        <v>41</v>
      </c>
      <c r="R245" s="14" t="s">
        <v>42</v>
      </c>
      <c r="S245" s="14" t="s">
        <v>153</v>
      </c>
      <c r="T245" s="14" t="s">
        <v>58</v>
      </c>
      <c r="U245" s="14" t="s">
        <v>45</v>
      </c>
      <c r="V245" s="14" t="s">
        <v>2123</v>
      </c>
      <c r="W245" s="14" t="s">
        <v>47</v>
      </c>
      <c r="X245" s="15" t="s">
        <v>2124</v>
      </c>
      <c r="Y245" s="14" t="s">
        <v>1595</v>
      </c>
      <c r="Z245" s="14" t="s">
        <v>50</v>
      </c>
    </row>
    <row r="246">
      <c r="A246" s="14" t="s">
        <v>2125</v>
      </c>
      <c r="B246" s="14" t="s">
        <v>386</v>
      </c>
      <c r="C246" s="14" t="s">
        <v>1626</v>
      </c>
      <c r="D246" s="14" t="s">
        <v>2126</v>
      </c>
      <c r="E246" s="14" t="s">
        <v>2127</v>
      </c>
      <c r="F246" s="14">
        <v>2025.0</v>
      </c>
      <c r="G246" s="14" t="s">
        <v>1131</v>
      </c>
      <c r="H246" s="14" t="s">
        <v>1865</v>
      </c>
      <c r="I246" s="14" t="s">
        <v>34</v>
      </c>
      <c r="J246" s="14" t="s">
        <v>390</v>
      </c>
      <c r="K246" s="15" t="s">
        <v>2128</v>
      </c>
      <c r="L246" s="14" t="s">
        <v>2105</v>
      </c>
      <c r="M246" s="14">
        <v>28.0</v>
      </c>
      <c r="N246" s="14" t="s">
        <v>2129</v>
      </c>
      <c r="O246" s="14" t="s">
        <v>2130</v>
      </c>
      <c r="P246" s="14" t="s">
        <v>2131</v>
      </c>
      <c r="Q246" s="14" t="s">
        <v>41</v>
      </c>
      <c r="R246" s="14" t="s">
        <v>56</v>
      </c>
      <c r="S246" s="14" t="s">
        <v>714</v>
      </c>
      <c r="T246" s="14" t="s">
        <v>44</v>
      </c>
      <c r="U246" s="14" t="s">
        <v>45</v>
      </c>
      <c r="V246" s="14" t="s">
        <v>2132</v>
      </c>
      <c r="W246" s="14" t="s">
        <v>47</v>
      </c>
      <c r="X246" s="15" t="s">
        <v>2133</v>
      </c>
      <c r="Y246" s="14" t="s">
        <v>1595</v>
      </c>
      <c r="Z246" s="14" t="s">
        <v>50</v>
      </c>
    </row>
    <row r="247">
      <c r="A247" s="14" t="s">
        <v>2134</v>
      </c>
      <c r="B247" s="14" t="s">
        <v>386</v>
      </c>
      <c r="C247" s="14" t="s">
        <v>1626</v>
      </c>
      <c r="D247" s="14" t="s">
        <v>2126</v>
      </c>
      <c r="E247" s="14" t="s">
        <v>2127</v>
      </c>
      <c r="F247" s="14">
        <v>2025.0</v>
      </c>
      <c r="G247" s="14" t="s">
        <v>1131</v>
      </c>
      <c r="H247" s="14" t="s">
        <v>1865</v>
      </c>
      <c r="I247" s="14" t="s">
        <v>34</v>
      </c>
      <c r="J247" s="14" t="s">
        <v>35</v>
      </c>
      <c r="K247" s="15" t="s">
        <v>2135</v>
      </c>
      <c r="L247" s="14" t="s">
        <v>2136</v>
      </c>
      <c r="M247" s="14">
        <v>27.0</v>
      </c>
      <c r="N247" s="14" t="s">
        <v>2137</v>
      </c>
      <c r="O247" s="14" t="s">
        <v>2138</v>
      </c>
      <c r="P247" s="14" t="s">
        <v>2139</v>
      </c>
      <c r="Q247" s="14" t="s">
        <v>41</v>
      </c>
      <c r="R247" s="14" t="s">
        <v>42</v>
      </c>
      <c r="S247" s="14" t="s">
        <v>266</v>
      </c>
      <c r="T247" s="14" t="s">
        <v>160</v>
      </c>
      <c r="U247" s="14" t="s">
        <v>45</v>
      </c>
      <c r="V247" s="14" t="s">
        <v>46</v>
      </c>
      <c r="W247" s="14" t="s">
        <v>47</v>
      </c>
      <c r="X247" s="15" t="s">
        <v>2140</v>
      </c>
      <c r="Y247" s="14" t="s">
        <v>1595</v>
      </c>
      <c r="Z247" s="14" t="s">
        <v>50</v>
      </c>
    </row>
    <row r="248">
      <c r="A248" s="14" t="s">
        <v>2141</v>
      </c>
      <c r="B248" s="14" t="s">
        <v>386</v>
      </c>
      <c r="C248" s="14" t="s">
        <v>1626</v>
      </c>
      <c r="D248" s="14" t="s">
        <v>2126</v>
      </c>
      <c r="E248" s="14" t="s">
        <v>2127</v>
      </c>
      <c r="F248" s="14">
        <v>2025.0</v>
      </c>
      <c r="G248" s="14" t="s">
        <v>1131</v>
      </c>
      <c r="H248" s="14" t="s">
        <v>1865</v>
      </c>
      <c r="I248" s="14" t="s">
        <v>34</v>
      </c>
      <c r="J248" s="14" t="s">
        <v>390</v>
      </c>
      <c r="K248" s="15" t="s">
        <v>2142</v>
      </c>
      <c r="L248" s="14" t="s">
        <v>2143</v>
      </c>
      <c r="M248" s="14">
        <v>41.0</v>
      </c>
      <c r="N248" s="14" t="s">
        <v>2144</v>
      </c>
      <c r="O248" s="14" t="s">
        <v>2145</v>
      </c>
      <c r="P248" s="14" t="s">
        <v>2146</v>
      </c>
      <c r="Q248" s="14" t="s">
        <v>41</v>
      </c>
      <c r="R248" s="14" t="s">
        <v>404</v>
      </c>
      <c r="S248" s="14" t="s">
        <v>405</v>
      </c>
      <c r="T248" s="14" t="s">
        <v>178</v>
      </c>
      <c r="U248" s="14" t="s">
        <v>45</v>
      </c>
      <c r="V248" s="14" t="s">
        <v>2147</v>
      </c>
      <c r="W248" s="14" t="s">
        <v>47</v>
      </c>
      <c r="X248" s="15" t="s">
        <v>2148</v>
      </c>
      <c r="Y248" s="14" t="s">
        <v>1595</v>
      </c>
      <c r="Z248" s="14" t="s">
        <v>50</v>
      </c>
    </row>
    <row r="249">
      <c r="A249" s="14" t="s">
        <v>2149</v>
      </c>
      <c r="B249" s="14" t="s">
        <v>386</v>
      </c>
      <c r="C249" s="14" t="s">
        <v>1626</v>
      </c>
      <c r="D249" s="14" t="s">
        <v>2126</v>
      </c>
      <c r="E249" s="14" t="s">
        <v>2127</v>
      </c>
      <c r="F249" s="14">
        <v>2025.0</v>
      </c>
      <c r="G249" s="14" t="s">
        <v>1131</v>
      </c>
      <c r="H249" s="14" t="s">
        <v>1865</v>
      </c>
      <c r="I249" s="14" t="s">
        <v>34</v>
      </c>
      <c r="J249" s="14" t="s">
        <v>390</v>
      </c>
      <c r="K249" s="15" t="s">
        <v>2150</v>
      </c>
      <c r="L249" s="14" t="s">
        <v>2151</v>
      </c>
      <c r="M249" s="14">
        <v>20.0</v>
      </c>
      <c r="N249" s="14" t="s">
        <v>2152</v>
      </c>
      <c r="O249" s="14" t="s">
        <v>2153</v>
      </c>
      <c r="P249" s="14" t="s">
        <v>2154</v>
      </c>
      <c r="Q249" s="14" t="s">
        <v>41</v>
      </c>
      <c r="R249" s="14" t="s">
        <v>42</v>
      </c>
      <c r="S249" s="14" t="s">
        <v>153</v>
      </c>
      <c r="T249" s="14" t="s">
        <v>58</v>
      </c>
      <c r="U249" s="14" t="s">
        <v>45</v>
      </c>
      <c r="V249" s="14" t="s">
        <v>2155</v>
      </c>
      <c r="W249" s="14" t="s">
        <v>47</v>
      </c>
      <c r="X249" s="15" t="s">
        <v>2156</v>
      </c>
      <c r="Y249" s="14" t="s">
        <v>1595</v>
      </c>
      <c r="Z249" s="14" t="s">
        <v>50</v>
      </c>
    </row>
    <row r="250">
      <c r="A250" s="14" t="s">
        <v>2157</v>
      </c>
      <c r="B250" s="14" t="s">
        <v>2158</v>
      </c>
      <c r="C250" s="14" t="s">
        <v>2159</v>
      </c>
      <c r="D250" s="14" t="s">
        <v>2160</v>
      </c>
      <c r="E250" s="14" t="s">
        <v>2161</v>
      </c>
      <c r="F250" s="14">
        <v>2025.0</v>
      </c>
      <c r="G250" s="14" t="s">
        <v>32</v>
      </c>
      <c r="H250" s="14" t="s">
        <v>33</v>
      </c>
      <c r="I250" s="14" t="s">
        <v>34</v>
      </c>
      <c r="J250" s="14" t="s">
        <v>35</v>
      </c>
      <c r="K250" s="15" t="s">
        <v>2162</v>
      </c>
      <c r="L250" s="14" t="s">
        <v>2163</v>
      </c>
      <c r="M250" s="14">
        <v>28.0</v>
      </c>
      <c r="N250" s="14" t="s">
        <v>2164</v>
      </c>
      <c r="O250" s="14" t="s">
        <v>2165</v>
      </c>
      <c r="P250" s="14" t="s">
        <v>2166</v>
      </c>
      <c r="Q250" s="14" t="s">
        <v>41</v>
      </c>
      <c r="R250" s="14" t="s">
        <v>404</v>
      </c>
      <c r="S250" s="14" t="s">
        <v>462</v>
      </c>
      <c r="T250" s="14" t="s">
        <v>104</v>
      </c>
      <c r="U250" s="14" t="s">
        <v>45</v>
      </c>
      <c r="V250" s="14" t="s">
        <v>2167</v>
      </c>
      <c r="W250" s="14" t="s">
        <v>47</v>
      </c>
      <c r="X250" s="15" t="s">
        <v>2168</v>
      </c>
      <c r="Y250" s="14" t="s">
        <v>1595</v>
      </c>
      <c r="Z250" s="14" t="s">
        <v>50</v>
      </c>
    </row>
    <row r="251">
      <c r="A251" s="14" t="s">
        <v>2169</v>
      </c>
      <c r="B251" s="14" t="s">
        <v>2158</v>
      </c>
      <c r="C251" s="14" t="s">
        <v>2159</v>
      </c>
      <c r="D251" s="14" t="s">
        <v>2160</v>
      </c>
      <c r="E251" s="14" t="s">
        <v>2161</v>
      </c>
      <c r="F251" s="14">
        <v>2025.0</v>
      </c>
      <c r="G251" s="14" t="s">
        <v>32</v>
      </c>
      <c r="H251" s="14" t="s">
        <v>33</v>
      </c>
      <c r="I251" s="14" t="s">
        <v>34</v>
      </c>
      <c r="J251" s="14" t="s">
        <v>35</v>
      </c>
      <c r="K251" s="15" t="s">
        <v>2170</v>
      </c>
      <c r="L251" s="14" t="s">
        <v>2163</v>
      </c>
      <c r="M251" s="14">
        <v>23.0</v>
      </c>
      <c r="N251" s="14" t="s">
        <v>2171</v>
      </c>
      <c r="O251" s="14" t="s">
        <v>2172</v>
      </c>
      <c r="P251" s="14" t="s">
        <v>2173</v>
      </c>
      <c r="Q251" s="14" t="s">
        <v>41</v>
      </c>
      <c r="R251" s="14" t="s">
        <v>273</v>
      </c>
      <c r="S251" s="14" t="s">
        <v>383</v>
      </c>
      <c r="T251" s="14" t="s">
        <v>198</v>
      </c>
      <c r="U251" s="14" t="s">
        <v>45</v>
      </c>
      <c r="V251" s="14" t="s">
        <v>2174</v>
      </c>
      <c r="W251" s="14" t="s">
        <v>47</v>
      </c>
      <c r="X251" s="15" t="s">
        <v>2175</v>
      </c>
      <c r="Y251" s="14" t="s">
        <v>1595</v>
      </c>
      <c r="Z251" s="14" t="s">
        <v>50</v>
      </c>
    </row>
    <row r="252">
      <c r="A252" s="14" t="s">
        <v>2176</v>
      </c>
      <c r="B252" s="14" t="s">
        <v>2158</v>
      </c>
      <c r="C252" s="14" t="s">
        <v>2159</v>
      </c>
      <c r="D252" s="14" t="s">
        <v>2160</v>
      </c>
      <c r="E252" s="14" t="s">
        <v>2161</v>
      </c>
      <c r="F252" s="14">
        <v>2025.0</v>
      </c>
      <c r="G252" s="14" t="s">
        <v>32</v>
      </c>
      <c r="H252" s="14" t="s">
        <v>33</v>
      </c>
      <c r="I252" s="14" t="s">
        <v>34</v>
      </c>
      <c r="J252" s="14" t="s">
        <v>35</v>
      </c>
      <c r="K252" s="15" t="s">
        <v>2177</v>
      </c>
      <c r="L252" s="14" t="s">
        <v>2163</v>
      </c>
      <c r="M252" s="14">
        <v>21.0</v>
      </c>
      <c r="N252" s="14" t="s">
        <v>2178</v>
      </c>
      <c r="O252" s="14" t="s">
        <v>2179</v>
      </c>
      <c r="P252" s="14" t="s">
        <v>2180</v>
      </c>
      <c r="Q252" s="14" t="s">
        <v>41</v>
      </c>
      <c r="R252" s="14" t="s">
        <v>404</v>
      </c>
      <c r="S252" s="14" t="s">
        <v>2181</v>
      </c>
      <c r="T252" s="14" t="s">
        <v>104</v>
      </c>
      <c r="U252" s="14" t="s">
        <v>45</v>
      </c>
      <c r="V252" s="14" t="s">
        <v>46</v>
      </c>
      <c r="W252" s="14" t="s">
        <v>47</v>
      </c>
      <c r="X252" s="15" t="s">
        <v>2182</v>
      </c>
      <c r="Y252" s="14" t="s">
        <v>1595</v>
      </c>
      <c r="Z252" s="14" t="s">
        <v>50</v>
      </c>
    </row>
    <row r="253">
      <c r="A253" s="14" t="s">
        <v>2183</v>
      </c>
      <c r="B253" s="14" t="s">
        <v>2158</v>
      </c>
      <c r="C253" s="14" t="s">
        <v>2159</v>
      </c>
      <c r="D253" s="14" t="s">
        <v>2184</v>
      </c>
      <c r="E253" s="14" t="s">
        <v>2185</v>
      </c>
      <c r="F253" s="14">
        <v>2025.0</v>
      </c>
      <c r="G253" s="14" t="s">
        <v>32</v>
      </c>
      <c r="H253" s="14" t="s">
        <v>33</v>
      </c>
      <c r="I253" s="14" t="s">
        <v>34</v>
      </c>
      <c r="J253" s="14" t="s">
        <v>35</v>
      </c>
      <c r="K253" s="15" t="s">
        <v>2186</v>
      </c>
      <c r="L253" s="14" t="s">
        <v>1989</v>
      </c>
      <c r="M253" s="14">
        <v>41.0</v>
      </c>
      <c r="N253" s="14" t="s">
        <v>2187</v>
      </c>
      <c r="O253" s="14" t="s">
        <v>2188</v>
      </c>
      <c r="P253" s="14" t="s">
        <v>2189</v>
      </c>
      <c r="Q253" s="14" t="s">
        <v>41</v>
      </c>
      <c r="R253" s="14" t="s">
        <v>404</v>
      </c>
      <c r="S253" s="14" t="s">
        <v>2181</v>
      </c>
      <c r="T253" s="14" t="s">
        <v>104</v>
      </c>
      <c r="U253" s="14" t="s">
        <v>45</v>
      </c>
      <c r="V253" s="14" t="s">
        <v>2190</v>
      </c>
      <c r="W253" s="14" t="s">
        <v>47</v>
      </c>
      <c r="X253" s="15" t="s">
        <v>2191</v>
      </c>
      <c r="Y253" s="14" t="s">
        <v>1595</v>
      </c>
      <c r="Z253" s="14" t="s">
        <v>50</v>
      </c>
    </row>
    <row r="254">
      <c r="A254" s="14" t="s">
        <v>2192</v>
      </c>
      <c r="B254" s="14" t="s">
        <v>2158</v>
      </c>
      <c r="C254" s="14" t="s">
        <v>2159</v>
      </c>
      <c r="D254" s="14" t="s">
        <v>2184</v>
      </c>
      <c r="E254" s="14" t="s">
        <v>2185</v>
      </c>
      <c r="F254" s="14">
        <v>2025.0</v>
      </c>
      <c r="G254" s="14" t="s">
        <v>32</v>
      </c>
      <c r="H254" s="14" t="s">
        <v>33</v>
      </c>
      <c r="I254" s="14" t="s">
        <v>34</v>
      </c>
      <c r="J254" s="14" t="s">
        <v>35</v>
      </c>
      <c r="K254" s="15" t="s">
        <v>2193</v>
      </c>
      <c r="L254" s="14" t="s">
        <v>2194</v>
      </c>
      <c r="M254" s="14">
        <v>43.0</v>
      </c>
      <c r="N254" s="14" t="s">
        <v>2195</v>
      </c>
      <c r="O254" s="14" t="s">
        <v>2196</v>
      </c>
      <c r="P254" s="14" t="s">
        <v>2197</v>
      </c>
      <c r="Q254" s="14" t="s">
        <v>41</v>
      </c>
      <c r="R254" s="14" t="s">
        <v>42</v>
      </c>
      <c r="S254" s="14" t="s">
        <v>67</v>
      </c>
      <c r="T254" s="14" t="s">
        <v>188</v>
      </c>
      <c r="U254" s="14" t="s">
        <v>45</v>
      </c>
      <c r="V254" s="14" t="s">
        <v>2198</v>
      </c>
      <c r="W254" s="14" t="s">
        <v>47</v>
      </c>
      <c r="X254" s="15" t="s">
        <v>2199</v>
      </c>
      <c r="Y254" s="14" t="s">
        <v>1595</v>
      </c>
      <c r="Z254" s="14" t="s">
        <v>50</v>
      </c>
    </row>
    <row r="255">
      <c r="A255" s="14" t="s">
        <v>2200</v>
      </c>
      <c r="B255" s="14" t="s">
        <v>2158</v>
      </c>
      <c r="C255" s="14" t="s">
        <v>2159</v>
      </c>
      <c r="D255" s="14" t="s">
        <v>2184</v>
      </c>
      <c r="E255" s="14" t="s">
        <v>2185</v>
      </c>
      <c r="F255" s="14">
        <v>2025.0</v>
      </c>
      <c r="G255" s="14" t="s">
        <v>32</v>
      </c>
      <c r="H255" s="14" t="s">
        <v>33</v>
      </c>
      <c r="I255" s="14" t="s">
        <v>34</v>
      </c>
      <c r="J255" s="14" t="s">
        <v>35</v>
      </c>
      <c r="K255" s="15" t="s">
        <v>2201</v>
      </c>
      <c r="L255" s="14" t="s">
        <v>1989</v>
      </c>
      <c r="M255" s="14">
        <v>34.0</v>
      </c>
      <c r="N255" s="14" t="s">
        <v>2202</v>
      </c>
      <c r="O255" s="14" t="s">
        <v>2203</v>
      </c>
      <c r="P255" s="14" t="s">
        <v>2204</v>
      </c>
      <c r="Q255" s="14" t="s">
        <v>41</v>
      </c>
      <c r="R255" s="14" t="s">
        <v>404</v>
      </c>
      <c r="S255" s="14" t="s">
        <v>2181</v>
      </c>
      <c r="T255" s="14" t="s">
        <v>198</v>
      </c>
      <c r="U255" s="14" t="s">
        <v>45</v>
      </c>
      <c r="V255" s="14" t="s">
        <v>2205</v>
      </c>
      <c r="W255" s="14" t="s">
        <v>47</v>
      </c>
      <c r="X255" s="15" t="s">
        <v>2206</v>
      </c>
      <c r="Y255" s="14" t="s">
        <v>1595</v>
      </c>
      <c r="Z255" s="14" t="s">
        <v>50</v>
      </c>
    </row>
    <row r="256">
      <c r="A256" s="14" t="s">
        <v>2207</v>
      </c>
      <c r="B256" s="14" t="s">
        <v>2158</v>
      </c>
      <c r="C256" s="14" t="s">
        <v>2208</v>
      </c>
      <c r="D256" s="14" t="s">
        <v>2209</v>
      </c>
      <c r="E256" s="14" t="s">
        <v>2210</v>
      </c>
      <c r="F256" s="14">
        <v>2025.0</v>
      </c>
      <c r="G256" s="14" t="s">
        <v>32</v>
      </c>
      <c r="H256" s="14" t="s">
        <v>33</v>
      </c>
      <c r="I256" s="14" t="s">
        <v>34</v>
      </c>
      <c r="J256" s="14" t="s">
        <v>35</v>
      </c>
      <c r="K256" s="15" t="s">
        <v>2211</v>
      </c>
      <c r="L256" s="14" t="s">
        <v>1825</v>
      </c>
      <c r="M256" s="14">
        <v>24.0</v>
      </c>
      <c r="N256" s="14" t="s">
        <v>2212</v>
      </c>
      <c r="O256" s="14" t="s">
        <v>2213</v>
      </c>
      <c r="P256" s="14" t="s">
        <v>2214</v>
      </c>
      <c r="Q256" s="14" t="s">
        <v>41</v>
      </c>
      <c r="R256" s="14" t="s">
        <v>273</v>
      </c>
      <c r="S256" s="14" t="s">
        <v>383</v>
      </c>
      <c r="T256" s="14" t="s">
        <v>198</v>
      </c>
      <c r="U256" s="14" t="s">
        <v>45</v>
      </c>
      <c r="V256" s="14" t="s">
        <v>2215</v>
      </c>
      <c r="W256" s="14" t="s">
        <v>47</v>
      </c>
      <c r="X256" s="15" t="s">
        <v>2216</v>
      </c>
      <c r="Y256" s="14" t="s">
        <v>1595</v>
      </c>
      <c r="Z256" s="14" t="s">
        <v>50</v>
      </c>
    </row>
    <row r="257">
      <c r="A257" s="14" t="s">
        <v>2217</v>
      </c>
      <c r="B257" s="14" t="s">
        <v>2158</v>
      </c>
      <c r="C257" s="14" t="s">
        <v>2218</v>
      </c>
      <c r="D257" s="14" t="s">
        <v>2209</v>
      </c>
      <c r="E257" s="14" t="s">
        <v>2210</v>
      </c>
      <c r="F257" s="14">
        <v>2025.0</v>
      </c>
      <c r="G257" s="14" t="s">
        <v>32</v>
      </c>
      <c r="H257" s="14" t="s">
        <v>33</v>
      </c>
      <c r="I257" s="14" t="s">
        <v>34</v>
      </c>
      <c r="J257" s="14" t="s">
        <v>35</v>
      </c>
      <c r="K257" s="15" t="s">
        <v>2219</v>
      </c>
      <c r="L257" s="14" t="s">
        <v>1825</v>
      </c>
      <c r="M257" s="14">
        <v>23.0</v>
      </c>
      <c r="N257" s="14" t="s">
        <v>2220</v>
      </c>
      <c r="O257" s="14" t="s">
        <v>2221</v>
      </c>
      <c r="P257" s="14" t="s">
        <v>2222</v>
      </c>
      <c r="Q257" s="14" t="s">
        <v>41</v>
      </c>
      <c r="R257" s="14" t="s">
        <v>1027</v>
      </c>
      <c r="S257" s="14" t="s">
        <v>2223</v>
      </c>
      <c r="T257" s="14" t="s">
        <v>160</v>
      </c>
      <c r="U257" s="14" t="s">
        <v>45</v>
      </c>
      <c r="V257" s="14" t="s">
        <v>2224</v>
      </c>
      <c r="W257" s="14" t="s">
        <v>47</v>
      </c>
      <c r="X257" s="15" t="s">
        <v>2225</v>
      </c>
      <c r="Y257" s="14" t="s">
        <v>1595</v>
      </c>
      <c r="Z257" s="14" t="s">
        <v>50</v>
      </c>
    </row>
    <row r="258">
      <c r="A258" s="14" t="s">
        <v>2226</v>
      </c>
      <c r="B258" s="14" t="s">
        <v>2158</v>
      </c>
      <c r="C258" s="14" t="s">
        <v>2208</v>
      </c>
      <c r="D258" s="14" t="s">
        <v>2209</v>
      </c>
      <c r="E258" s="14" t="s">
        <v>2210</v>
      </c>
      <c r="F258" s="14">
        <v>2025.0</v>
      </c>
      <c r="G258" s="14" t="s">
        <v>32</v>
      </c>
      <c r="H258" s="14" t="s">
        <v>33</v>
      </c>
      <c r="I258" s="14" t="s">
        <v>34</v>
      </c>
      <c r="J258" s="14" t="s">
        <v>35</v>
      </c>
      <c r="K258" s="15" t="s">
        <v>2227</v>
      </c>
      <c r="L258" s="14" t="s">
        <v>1989</v>
      </c>
      <c r="M258" s="14">
        <v>23.0</v>
      </c>
      <c r="N258" s="14" t="s">
        <v>2228</v>
      </c>
      <c r="O258" s="14" t="s">
        <v>2229</v>
      </c>
      <c r="P258" s="14" t="s">
        <v>2230</v>
      </c>
      <c r="Q258" s="14" t="s">
        <v>41</v>
      </c>
      <c r="R258" s="14" t="s">
        <v>1027</v>
      </c>
      <c r="S258" s="14" t="s">
        <v>2231</v>
      </c>
      <c r="T258" s="14" t="s">
        <v>198</v>
      </c>
      <c r="U258" s="14" t="s">
        <v>45</v>
      </c>
      <c r="V258" s="14" t="s">
        <v>2232</v>
      </c>
      <c r="W258" s="14" t="s">
        <v>47</v>
      </c>
      <c r="X258" s="15" t="s">
        <v>2233</v>
      </c>
      <c r="Y258" s="14" t="s">
        <v>1595</v>
      </c>
      <c r="Z258" s="14" t="s">
        <v>50</v>
      </c>
    </row>
    <row r="259">
      <c r="A259" s="14" t="s">
        <v>2234</v>
      </c>
      <c r="B259" s="14" t="s">
        <v>2158</v>
      </c>
      <c r="C259" s="14" t="s">
        <v>2235</v>
      </c>
      <c r="D259" s="14" t="s">
        <v>2236</v>
      </c>
      <c r="E259" s="14" t="s">
        <v>2237</v>
      </c>
      <c r="F259" s="14">
        <v>2025.0</v>
      </c>
      <c r="G259" s="14" t="s">
        <v>32</v>
      </c>
      <c r="H259" s="14" t="s">
        <v>33</v>
      </c>
      <c r="I259" s="14" t="s">
        <v>34</v>
      </c>
      <c r="J259" s="14" t="s">
        <v>35</v>
      </c>
      <c r="K259" s="15" t="s">
        <v>2238</v>
      </c>
      <c r="L259" s="14" t="s">
        <v>1989</v>
      </c>
      <c r="M259" s="14">
        <v>26.0</v>
      </c>
      <c r="N259" s="14" t="s">
        <v>2239</v>
      </c>
      <c r="O259" s="14" t="s">
        <v>2240</v>
      </c>
      <c r="P259" s="14" t="s">
        <v>2241</v>
      </c>
      <c r="Q259" s="14" t="s">
        <v>41</v>
      </c>
      <c r="R259" s="14" t="s">
        <v>1027</v>
      </c>
      <c r="S259" s="14" t="s">
        <v>1028</v>
      </c>
      <c r="T259" s="14" t="s">
        <v>198</v>
      </c>
      <c r="U259" s="14" t="s">
        <v>45</v>
      </c>
      <c r="V259" s="14" t="s">
        <v>2242</v>
      </c>
      <c r="W259" s="14" t="s">
        <v>47</v>
      </c>
      <c r="X259" s="15" t="s">
        <v>2243</v>
      </c>
      <c r="Y259" s="14" t="s">
        <v>1595</v>
      </c>
      <c r="Z259" s="14" t="s">
        <v>50</v>
      </c>
    </row>
    <row r="260">
      <c r="A260" s="14" t="s">
        <v>2244</v>
      </c>
      <c r="B260" s="14" t="s">
        <v>2158</v>
      </c>
      <c r="C260" s="14" t="s">
        <v>2245</v>
      </c>
      <c r="D260" s="14" t="s">
        <v>2236</v>
      </c>
      <c r="E260" s="14" t="s">
        <v>2237</v>
      </c>
      <c r="F260" s="14">
        <v>2025.0</v>
      </c>
      <c r="G260" s="14" t="s">
        <v>32</v>
      </c>
      <c r="H260" s="14" t="s">
        <v>33</v>
      </c>
      <c r="I260" s="14" t="s">
        <v>34</v>
      </c>
      <c r="J260" s="14" t="s">
        <v>35</v>
      </c>
      <c r="K260" s="15" t="s">
        <v>2246</v>
      </c>
      <c r="L260" s="14" t="s">
        <v>1989</v>
      </c>
      <c r="M260" s="14">
        <v>21.0</v>
      </c>
      <c r="N260" s="14" t="s">
        <v>2247</v>
      </c>
      <c r="O260" s="14" t="s">
        <v>2248</v>
      </c>
      <c r="P260" s="14" t="s">
        <v>2249</v>
      </c>
      <c r="Q260" s="14" t="s">
        <v>41</v>
      </c>
      <c r="R260" s="14" t="s">
        <v>1027</v>
      </c>
      <c r="S260" s="14" t="s">
        <v>1028</v>
      </c>
      <c r="T260" s="14" t="s">
        <v>198</v>
      </c>
      <c r="U260" s="14" t="s">
        <v>45</v>
      </c>
      <c r="V260" s="14" t="s">
        <v>46</v>
      </c>
      <c r="W260" s="14" t="s">
        <v>47</v>
      </c>
      <c r="X260" s="15" t="s">
        <v>2250</v>
      </c>
      <c r="Y260" s="14" t="s">
        <v>1595</v>
      </c>
      <c r="Z260" s="14" t="s">
        <v>50</v>
      </c>
    </row>
    <row r="261">
      <c r="A261" s="14" t="s">
        <v>2251</v>
      </c>
      <c r="B261" s="14" t="s">
        <v>2158</v>
      </c>
      <c r="C261" s="14" t="s">
        <v>2252</v>
      </c>
      <c r="D261" s="14" t="s">
        <v>2236</v>
      </c>
      <c r="E261" s="14" t="s">
        <v>2237</v>
      </c>
      <c r="F261" s="14">
        <v>2025.0</v>
      </c>
      <c r="G261" s="14" t="s">
        <v>32</v>
      </c>
      <c r="H261" s="14" t="s">
        <v>33</v>
      </c>
      <c r="I261" s="14" t="s">
        <v>34</v>
      </c>
      <c r="J261" s="14" t="s">
        <v>35</v>
      </c>
      <c r="K261" s="15" t="s">
        <v>2253</v>
      </c>
      <c r="L261" s="14" t="s">
        <v>1825</v>
      </c>
      <c r="M261" s="14">
        <v>21.0</v>
      </c>
      <c r="N261" s="14" t="s">
        <v>2254</v>
      </c>
      <c r="O261" s="14" t="s">
        <v>2255</v>
      </c>
      <c r="P261" s="14" t="s">
        <v>2256</v>
      </c>
      <c r="Q261" s="14" t="s">
        <v>316</v>
      </c>
      <c r="R261" s="14" t="s">
        <v>404</v>
      </c>
      <c r="S261" s="14" t="s">
        <v>462</v>
      </c>
      <c r="T261" s="14" t="s">
        <v>104</v>
      </c>
      <c r="U261" s="14" t="s">
        <v>45</v>
      </c>
      <c r="V261" s="14" t="s">
        <v>2257</v>
      </c>
      <c r="W261" s="14" t="s">
        <v>1079</v>
      </c>
      <c r="X261" s="15" t="s">
        <v>2258</v>
      </c>
      <c r="Y261" s="14" t="s">
        <v>1595</v>
      </c>
      <c r="Z261" s="14" t="s">
        <v>50</v>
      </c>
    </row>
    <row r="262">
      <c r="A262" s="14" t="s">
        <v>2259</v>
      </c>
      <c r="B262" s="14" t="s">
        <v>2158</v>
      </c>
      <c r="C262" s="14" t="s">
        <v>2260</v>
      </c>
      <c r="D262" s="14" t="s">
        <v>2261</v>
      </c>
      <c r="E262" s="14" t="s">
        <v>2262</v>
      </c>
      <c r="F262" s="14">
        <v>2025.0</v>
      </c>
      <c r="G262" s="14" t="s">
        <v>32</v>
      </c>
      <c r="H262" s="14" t="s">
        <v>33</v>
      </c>
      <c r="I262" s="14" t="s">
        <v>34</v>
      </c>
      <c r="J262" s="14" t="s">
        <v>35</v>
      </c>
      <c r="K262" s="15" t="s">
        <v>2263</v>
      </c>
      <c r="L262" s="14" t="s">
        <v>1989</v>
      </c>
      <c r="M262" s="14">
        <v>39.0</v>
      </c>
      <c r="N262" s="14" t="s">
        <v>2264</v>
      </c>
      <c r="O262" s="14" t="s">
        <v>2265</v>
      </c>
      <c r="P262" s="14" t="s">
        <v>2266</v>
      </c>
      <c r="Q262" s="14" t="s">
        <v>41</v>
      </c>
      <c r="R262" s="14" t="s">
        <v>1027</v>
      </c>
      <c r="S262" s="14" t="s">
        <v>1028</v>
      </c>
      <c r="T262" s="14" t="s">
        <v>90</v>
      </c>
      <c r="U262" s="14" t="s">
        <v>45</v>
      </c>
      <c r="V262" s="14" t="s">
        <v>2267</v>
      </c>
      <c r="W262" s="14" t="s">
        <v>47</v>
      </c>
      <c r="X262" s="15" t="s">
        <v>2268</v>
      </c>
      <c r="Y262" s="14" t="s">
        <v>1595</v>
      </c>
      <c r="Z262" s="14" t="s">
        <v>50</v>
      </c>
    </row>
    <row r="263">
      <c r="A263" s="14" t="s">
        <v>2269</v>
      </c>
      <c r="B263" s="14" t="s">
        <v>2158</v>
      </c>
      <c r="C263" s="14" t="s">
        <v>2260</v>
      </c>
      <c r="D263" s="14" t="s">
        <v>2261</v>
      </c>
      <c r="E263" s="14" t="s">
        <v>2262</v>
      </c>
      <c r="F263" s="14">
        <v>2025.0</v>
      </c>
      <c r="G263" s="14" t="s">
        <v>32</v>
      </c>
      <c r="H263" s="14" t="s">
        <v>33</v>
      </c>
      <c r="I263" s="14" t="s">
        <v>34</v>
      </c>
      <c r="J263" s="14" t="s">
        <v>35</v>
      </c>
      <c r="K263" s="15" t="s">
        <v>2270</v>
      </c>
      <c r="L263" s="14" t="s">
        <v>1989</v>
      </c>
      <c r="M263" s="14">
        <v>34.0</v>
      </c>
      <c r="N263" s="14" t="s">
        <v>2271</v>
      </c>
      <c r="O263" s="14" t="s">
        <v>2272</v>
      </c>
      <c r="P263" s="14" t="s">
        <v>2273</v>
      </c>
      <c r="Q263" s="14" t="s">
        <v>41</v>
      </c>
      <c r="R263" s="14" t="s">
        <v>273</v>
      </c>
      <c r="S263" s="14" t="s">
        <v>383</v>
      </c>
      <c r="T263" s="14" t="s">
        <v>198</v>
      </c>
      <c r="U263" s="14" t="s">
        <v>45</v>
      </c>
      <c r="V263" s="14" t="s">
        <v>2274</v>
      </c>
      <c r="W263" s="14" t="s">
        <v>47</v>
      </c>
      <c r="X263" s="15" t="s">
        <v>2275</v>
      </c>
      <c r="Y263" s="14" t="s">
        <v>1595</v>
      </c>
      <c r="Z263" s="14" t="s">
        <v>50</v>
      </c>
    </row>
    <row r="264">
      <c r="A264" s="14" t="s">
        <v>2276</v>
      </c>
      <c r="B264" s="14" t="s">
        <v>2158</v>
      </c>
      <c r="C264" s="14" t="s">
        <v>2277</v>
      </c>
      <c r="D264" s="14" t="s">
        <v>2261</v>
      </c>
      <c r="E264" s="14" t="s">
        <v>2262</v>
      </c>
      <c r="F264" s="14">
        <v>2025.0</v>
      </c>
      <c r="G264" s="14" t="s">
        <v>1131</v>
      </c>
      <c r="H264" s="14" t="s">
        <v>1132</v>
      </c>
      <c r="I264" s="14" t="s">
        <v>1133</v>
      </c>
      <c r="J264" s="14" t="s">
        <v>390</v>
      </c>
      <c r="K264" s="15" t="s">
        <v>2278</v>
      </c>
      <c r="L264" s="14" t="s">
        <v>1825</v>
      </c>
      <c r="M264" s="14">
        <v>26.0</v>
      </c>
      <c r="N264" s="14" t="s">
        <v>2279</v>
      </c>
      <c r="O264" s="14" t="s">
        <v>2280</v>
      </c>
      <c r="P264" s="14" t="s">
        <v>2281</v>
      </c>
      <c r="Q264" s="14" t="s">
        <v>316</v>
      </c>
      <c r="R264" s="14" t="s">
        <v>56</v>
      </c>
      <c r="S264" s="14" t="s">
        <v>714</v>
      </c>
      <c r="T264" s="14" t="s">
        <v>58</v>
      </c>
      <c r="U264" s="14" t="s">
        <v>45</v>
      </c>
      <c r="V264" s="14" t="s">
        <v>46</v>
      </c>
      <c r="W264" s="14" t="s">
        <v>1079</v>
      </c>
      <c r="X264" s="15" t="s">
        <v>2282</v>
      </c>
      <c r="Y264" s="14" t="s">
        <v>1595</v>
      </c>
      <c r="Z264" s="14" t="s">
        <v>70</v>
      </c>
      <c r="AA264" s="16" t="s">
        <v>2283</v>
      </c>
    </row>
    <row r="265">
      <c r="A265" s="14" t="s">
        <v>2284</v>
      </c>
      <c r="B265" s="14" t="s">
        <v>386</v>
      </c>
      <c r="C265" s="14" t="s">
        <v>2285</v>
      </c>
      <c r="D265" s="14" t="s">
        <v>2286</v>
      </c>
      <c r="E265" s="14" t="s">
        <v>2287</v>
      </c>
      <c r="F265" s="14">
        <v>2023.0</v>
      </c>
      <c r="G265" s="14" t="s">
        <v>2288</v>
      </c>
      <c r="H265" s="14" t="s">
        <v>1132</v>
      </c>
      <c r="I265" s="14" t="s">
        <v>1133</v>
      </c>
      <c r="J265" s="14" t="s">
        <v>1987</v>
      </c>
      <c r="K265" s="15" t="s">
        <v>2289</v>
      </c>
      <c r="L265" s="14" t="s">
        <v>2290</v>
      </c>
      <c r="M265" s="14">
        <v>36.0</v>
      </c>
      <c r="N265" s="14" t="s">
        <v>2291</v>
      </c>
      <c r="O265" s="14" t="s">
        <v>2292</v>
      </c>
      <c r="P265" s="14" t="s">
        <v>2293</v>
      </c>
      <c r="Q265" s="14" t="s">
        <v>41</v>
      </c>
      <c r="R265" s="14" t="s">
        <v>78</v>
      </c>
      <c r="S265" s="14" t="s">
        <v>2294</v>
      </c>
      <c r="T265" s="14" t="s">
        <v>104</v>
      </c>
      <c r="U265" s="14" t="s">
        <v>45</v>
      </c>
      <c r="V265" s="14" t="s">
        <v>2295</v>
      </c>
      <c r="W265" s="14" t="s">
        <v>47</v>
      </c>
      <c r="X265" s="15" t="s">
        <v>2296</v>
      </c>
      <c r="Y265" s="14" t="s">
        <v>1595</v>
      </c>
      <c r="Z265" s="14" t="s">
        <v>50</v>
      </c>
    </row>
    <row r="266">
      <c r="A266" s="14" t="s">
        <v>2297</v>
      </c>
      <c r="B266" s="14" t="s">
        <v>386</v>
      </c>
      <c r="C266" s="14" t="s">
        <v>2285</v>
      </c>
      <c r="D266" s="14" t="s">
        <v>2298</v>
      </c>
      <c r="E266" s="14" t="s">
        <v>2287</v>
      </c>
      <c r="F266" s="14">
        <v>2023.0</v>
      </c>
      <c r="G266" s="14" t="s">
        <v>2288</v>
      </c>
      <c r="H266" s="14" t="s">
        <v>1132</v>
      </c>
      <c r="I266" s="14" t="s">
        <v>1133</v>
      </c>
      <c r="J266" s="14" t="s">
        <v>1987</v>
      </c>
      <c r="K266" s="15" t="s">
        <v>2299</v>
      </c>
      <c r="L266" s="14" t="s">
        <v>2300</v>
      </c>
      <c r="M266" s="14">
        <v>36.0</v>
      </c>
      <c r="N266" s="14" t="s">
        <v>2301</v>
      </c>
      <c r="O266" s="14" t="s">
        <v>2302</v>
      </c>
      <c r="P266" s="14" t="s">
        <v>2303</v>
      </c>
      <c r="Q266" s="14" t="s">
        <v>41</v>
      </c>
      <c r="R266" s="14" t="s">
        <v>42</v>
      </c>
      <c r="S266" s="14" t="s">
        <v>266</v>
      </c>
      <c r="T266" s="14" t="s">
        <v>58</v>
      </c>
      <c r="U266" s="14" t="s">
        <v>45</v>
      </c>
      <c r="V266" s="14" t="s">
        <v>2304</v>
      </c>
      <c r="W266" s="14" t="s">
        <v>47</v>
      </c>
      <c r="X266" s="15" t="s">
        <v>2305</v>
      </c>
      <c r="Y266" s="14" t="s">
        <v>1595</v>
      </c>
      <c r="Z266" s="14" t="s">
        <v>50</v>
      </c>
    </row>
    <row r="267">
      <c r="A267" s="14" t="s">
        <v>2306</v>
      </c>
      <c r="B267" s="14" t="s">
        <v>386</v>
      </c>
      <c r="C267" s="14" t="s">
        <v>2285</v>
      </c>
      <c r="D267" s="14" t="s">
        <v>2298</v>
      </c>
      <c r="E267" s="14" t="s">
        <v>2287</v>
      </c>
      <c r="F267" s="14">
        <v>2023.0</v>
      </c>
      <c r="G267" s="14" t="s">
        <v>2288</v>
      </c>
      <c r="H267" s="14" t="s">
        <v>1132</v>
      </c>
      <c r="I267" s="14" t="s">
        <v>1133</v>
      </c>
      <c r="J267" s="14" t="s">
        <v>1987</v>
      </c>
      <c r="K267" s="15" t="s">
        <v>2307</v>
      </c>
      <c r="L267" s="14" t="s">
        <v>2308</v>
      </c>
      <c r="M267" s="14">
        <v>30.0</v>
      </c>
      <c r="N267" s="14" t="s">
        <v>2309</v>
      </c>
      <c r="O267" s="14" t="s">
        <v>2310</v>
      </c>
      <c r="P267" s="14" t="s">
        <v>2311</v>
      </c>
      <c r="Q267" s="14" t="s">
        <v>41</v>
      </c>
      <c r="R267" s="14" t="s">
        <v>42</v>
      </c>
      <c r="S267" s="14" t="s">
        <v>522</v>
      </c>
      <c r="T267" s="14" t="s">
        <v>44</v>
      </c>
      <c r="U267" s="14" t="s">
        <v>45</v>
      </c>
      <c r="V267" s="14" t="s">
        <v>2312</v>
      </c>
      <c r="W267" s="14" t="s">
        <v>47</v>
      </c>
      <c r="X267" s="15" t="s">
        <v>2313</v>
      </c>
      <c r="Y267" s="14" t="s">
        <v>1595</v>
      </c>
      <c r="Z267" s="14" t="s">
        <v>50</v>
      </c>
    </row>
    <row r="268">
      <c r="A268" s="14" t="s">
        <v>2314</v>
      </c>
      <c r="B268" s="14" t="s">
        <v>386</v>
      </c>
      <c r="C268" s="14" t="s">
        <v>2285</v>
      </c>
      <c r="D268" s="14" t="s">
        <v>2298</v>
      </c>
      <c r="E268" s="14" t="s">
        <v>2287</v>
      </c>
      <c r="F268" s="14">
        <v>2023.0</v>
      </c>
      <c r="G268" s="14" t="s">
        <v>2288</v>
      </c>
      <c r="H268" s="14" t="s">
        <v>1132</v>
      </c>
      <c r="I268" s="14" t="s">
        <v>1133</v>
      </c>
      <c r="J268" s="14" t="s">
        <v>1987</v>
      </c>
      <c r="K268" s="15" t="s">
        <v>2315</v>
      </c>
      <c r="L268" s="14" t="s">
        <v>2316</v>
      </c>
      <c r="M268" s="14">
        <v>28.0</v>
      </c>
      <c r="N268" s="14" t="s">
        <v>2317</v>
      </c>
      <c r="O268" s="14" t="s">
        <v>2318</v>
      </c>
      <c r="P268" s="14" t="s">
        <v>2319</v>
      </c>
      <c r="Q268" s="14" t="s">
        <v>41</v>
      </c>
      <c r="R268" s="14" t="s">
        <v>404</v>
      </c>
      <c r="S268" s="14" t="s">
        <v>1879</v>
      </c>
      <c r="T268" s="14" t="s">
        <v>104</v>
      </c>
      <c r="U268" s="14" t="s">
        <v>45</v>
      </c>
      <c r="V268" s="14" t="s">
        <v>2320</v>
      </c>
      <c r="W268" s="14" t="s">
        <v>47</v>
      </c>
      <c r="X268" s="15" t="s">
        <v>2321</v>
      </c>
      <c r="Y268" s="14" t="s">
        <v>1595</v>
      </c>
      <c r="Z268" s="14" t="s">
        <v>50</v>
      </c>
    </row>
    <row r="269">
      <c r="A269" s="14" t="s">
        <v>2322</v>
      </c>
      <c r="B269" s="14" t="s">
        <v>1040</v>
      </c>
      <c r="C269" s="14" t="s">
        <v>2323</v>
      </c>
      <c r="D269" s="14" t="s">
        <v>2324</v>
      </c>
      <c r="E269" s="14" t="s">
        <v>2325</v>
      </c>
      <c r="F269" s="14">
        <v>2019.0</v>
      </c>
      <c r="G269" s="14" t="s">
        <v>1864</v>
      </c>
      <c r="H269" s="14" t="s">
        <v>1865</v>
      </c>
      <c r="I269" s="14" t="s">
        <v>2326</v>
      </c>
      <c r="J269" s="14" t="s">
        <v>35</v>
      </c>
      <c r="K269" s="15" t="s">
        <v>2327</v>
      </c>
      <c r="L269" s="14" t="s">
        <v>2328</v>
      </c>
      <c r="M269" s="14">
        <v>39.0</v>
      </c>
      <c r="N269" s="14" t="s">
        <v>2329</v>
      </c>
      <c r="O269" s="14" t="s">
        <v>2330</v>
      </c>
      <c r="P269" s="14" t="s">
        <v>1323</v>
      </c>
      <c r="Q269" s="14" t="s">
        <v>41</v>
      </c>
      <c r="R269" s="14" t="s">
        <v>404</v>
      </c>
      <c r="S269" s="14" t="s">
        <v>405</v>
      </c>
      <c r="T269" s="14" t="s">
        <v>178</v>
      </c>
      <c r="U269" s="14" t="s">
        <v>45</v>
      </c>
      <c r="V269" s="14" t="s">
        <v>2331</v>
      </c>
      <c r="W269" s="14" t="s">
        <v>47</v>
      </c>
      <c r="X269" s="15" t="s">
        <v>2332</v>
      </c>
      <c r="Y269" s="14" t="s">
        <v>1595</v>
      </c>
      <c r="Z269" s="14" t="s">
        <v>50</v>
      </c>
    </row>
    <row r="270">
      <c r="A270" s="14" t="s">
        <v>2333</v>
      </c>
      <c r="B270" s="14" t="s">
        <v>1040</v>
      </c>
      <c r="C270" s="14" t="s">
        <v>2323</v>
      </c>
      <c r="D270" s="14" t="s">
        <v>2324</v>
      </c>
      <c r="E270" s="14" t="s">
        <v>2325</v>
      </c>
      <c r="F270" s="14">
        <v>2019.0</v>
      </c>
      <c r="G270" s="14" t="s">
        <v>1864</v>
      </c>
      <c r="H270" s="14" t="s">
        <v>1865</v>
      </c>
      <c r="I270" s="14" t="s">
        <v>2326</v>
      </c>
      <c r="J270" s="14" t="s">
        <v>35</v>
      </c>
      <c r="K270" s="15" t="s">
        <v>2334</v>
      </c>
      <c r="L270" s="14" t="s">
        <v>2335</v>
      </c>
      <c r="M270" s="14">
        <v>34.0</v>
      </c>
      <c r="N270" s="14" t="s">
        <v>2336</v>
      </c>
      <c r="O270" s="14" t="s">
        <v>2337</v>
      </c>
      <c r="P270" s="14" t="s">
        <v>2338</v>
      </c>
      <c r="Q270" s="14" t="s">
        <v>41</v>
      </c>
      <c r="R270" s="14" t="s">
        <v>42</v>
      </c>
      <c r="S270" s="14" t="s">
        <v>153</v>
      </c>
      <c r="T270" s="14" t="s">
        <v>58</v>
      </c>
      <c r="U270" s="14" t="s">
        <v>45</v>
      </c>
      <c r="V270" s="14" t="s">
        <v>2339</v>
      </c>
      <c r="W270" s="14" t="s">
        <v>47</v>
      </c>
      <c r="X270" s="15" t="s">
        <v>2340</v>
      </c>
      <c r="Y270" s="14" t="s">
        <v>1595</v>
      </c>
      <c r="Z270" s="14" t="s">
        <v>50</v>
      </c>
    </row>
    <row r="271">
      <c r="A271" s="14" t="s">
        <v>2341</v>
      </c>
      <c r="B271" s="14" t="s">
        <v>1040</v>
      </c>
      <c r="C271" s="14" t="s">
        <v>2323</v>
      </c>
      <c r="D271" s="14" t="s">
        <v>2324</v>
      </c>
      <c r="E271" s="14" t="s">
        <v>2325</v>
      </c>
      <c r="F271" s="14">
        <v>2019.0</v>
      </c>
      <c r="G271" s="14" t="s">
        <v>1864</v>
      </c>
      <c r="H271" s="14" t="s">
        <v>1865</v>
      </c>
      <c r="I271" s="14" t="s">
        <v>2326</v>
      </c>
      <c r="J271" s="14" t="s">
        <v>35</v>
      </c>
      <c r="K271" s="15" t="s">
        <v>2342</v>
      </c>
      <c r="L271" s="14" t="s">
        <v>2343</v>
      </c>
      <c r="M271" s="14">
        <v>36.0</v>
      </c>
      <c r="N271" s="14" t="s">
        <v>2344</v>
      </c>
      <c r="O271" s="14" t="s">
        <v>2345</v>
      </c>
      <c r="P271" s="14" t="s">
        <v>2346</v>
      </c>
      <c r="Q271" s="14" t="s">
        <v>316</v>
      </c>
      <c r="R271" s="14" t="s">
        <v>56</v>
      </c>
      <c r="S271" s="14" t="s">
        <v>177</v>
      </c>
      <c r="T271" s="14" t="s">
        <v>160</v>
      </c>
      <c r="U271" s="14" t="s">
        <v>45</v>
      </c>
      <c r="V271" s="14" t="s">
        <v>2347</v>
      </c>
      <c r="W271" s="14" t="s">
        <v>47</v>
      </c>
      <c r="X271" s="15" t="s">
        <v>2348</v>
      </c>
      <c r="Y271" s="14" t="s">
        <v>1595</v>
      </c>
      <c r="Z271" s="14" t="s">
        <v>50</v>
      </c>
    </row>
    <row r="272">
      <c r="A272" s="14" t="s">
        <v>2349</v>
      </c>
      <c r="B272" s="14" t="s">
        <v>1040</v>
      </c>
      <c r="C272" s="14" t="s">
        <v>2323</v>
      </c>
      <c r="D272" s="14" t="s">
        <v>2324</v>
      </c>
      <c r="E272" s="14" t="s">
        <v>2325</v>
      </c>
      <c r="F272" s="14">
        <v>2019.0</v>
      </c>
      <c r="G272" s="14" t="s">
        <v>1864</v>
      </c>
      <c r="H272" s="14" t="s">
        <v>1865</v>
      </c>
      <c r="I272" s="14" t="s">
        <v>2350</v>
      </c>
      <c r="J272" s="14" t="s">
        <v>390</v>
      </c>
      <c r="K272" s="15" t="s">
        <v>2351</v>
      </c>
      <c r="L272" s="14" t="s">
        <v>2352</v>
      </c>
      <c r="M272" s="14">
        <v>40.0</v>
      </c>
      <c r="N272" s="14" t="s">
        <v>2353</v>
      </c>
      <c r="O272" s="14" t="s">
        <v>2354</v>
      </c>
      <c r="P272" s="14" t="s">
        <v>2355</v>
      </c>
      <c r="Q272" s="14" t="s">
        <v>316</v>
      </c>
      <c r="R272" s="14" t="s">
        <v>404</v>
      </c>
      <c r="S272" s="14" t="s">
        <v>1879</v>
      </c>
      <c r="T272" s="14" t="s">
        <v>44</v>
      </c>
      <c r="U272" s="14" t="s">
        <v>45</v>
      </c>
      <c r="V272" s="14" t="s">
        <v>2356</v>
      </c>
      <c r="W272" s="14" t="s">
        <v>47</v>
      </c>
      <c r="X272" s="15" t="s">
        <v>2357</v>
      </c>
      <c r="Y272" s="14" t="s">
        <v>1595</v>
      </c>
      <c r="Z272" s="14" t="s">
        <v>50</v>
      </c>
    </row>
    <row r="273">
      <c r="A273" s="14" t="s">
        <v>2358</v>
      </c>
      <c r="B273" s="14" t="s">
        <v>1040</v>
      </c>
      <c r="C273" s="14" t="s">
        <v>2323</v>
      </c>
      <c r="D273" s="14" t="s">
        <v>2324</v>
      </c>
      <c r="E273" s="14" t="s">
        <v>2325</v>
      </c>
      <c r="F273" s="14">
        <v>2019.0</v>
      </c>
      <c r="G273" s="14" t="s">
        <v>1864</v>
      </c>
      <c r="H273" s="14" t="s">
        <v>1865</v>
      </c>
      <c r="I273" s="14" t="s">
        <v>2326</v>
      </c>
      <c r="J273" s="14" t="s">
        <v>390</v>
      </c>
      <c r="K273" s="15" t="s">
        <v>2359</v>
      </c>
      <c r="L273" s="14" t="s">
        <v>2360</v>
      </c>
      <c r="M273" s="14">
        <v>26.0</v>
      </c>
      <c r="N273" s="14" t="s">
        <v>2361</v>
      </c>
      <c r="O273" s="14" t="s">
        <v>2362</v>
      </c>
      <c r="P273" s="14" t="s">
        <v>2363</v>
      </c>
      <c r="Q273" s="14" t="s">
        <v>41</v>
      </c>
      <c r="R273" s="14" t="s">
        <v>42</v>
      </c>
      <c r="S273" s="14" t="s">
        <v>43</v>
      </c>
      <c r="T273" s="14" t="s">
        <v>90</v>
      </c>
      <c r="U273" s="14" t="s">
        <v>45</v>
      </c>
      <c r="V273" s="14" t="s">
        <v>2364</v>
      </c>
      <c r="W273" s="14" t="s">
        <v>47</v>
      </c>
      <c r="X273" s="15" t="s">
        <v>2365</v>
      </c>
      <c r="Y273" s="14" t="s">
        <v>1595</v>
      </c>
      <c r="Z273" s="14" t="s">
        <v>50</v>
      </c>
    </row>
    <row r="274">
      <c r="A274" s="14" t="s">
        <v>2366</v>
      </c>
      <c r="B274" s="14" t="s">
        <v>386</v>
      </c>
      <c r="C274" s="14" t="s">
        <v>2367</v>
      </c>
      <c r="D274" s="14" t="s">
        <v>2368</v>
      </c>
      <c r="E274" s="14" t="s">
        <v>2369</v>
      </c>
      <c r="F274" s="14">
        <v>2025.0</v>
      </c>
      <c r="G274" s="14" t="s">
        <v>32</v>
      </c>
      <c r="H274" s="14" t="s">
        <v>33</v>
      </c>
      <c r="I274" s="14" t="s">
        <v>34</v>
      </c>
      <c r="J274" s="14" t="s">
        <v>35</v>
      </c>
      <c r="K274" s="15" t="s">
        <v>2370</v>
      </c>
      <c r="L274" s="14" t="s">
        <v>2371</v>
      </c>
      <c r="M274" s="14">
        <v>43.0</v>
      </c>
      <c r="N274" s="14" t="s">
        <v>2372</v>
      </c>
      <c r="O274" s="14" t="s">
        <v>2373</v>
      </c>
      <c r="P274" s="14" t="s">
        <v>1723</v>
      </c>
      <c r="Q274" s="14" t="s">
        <v>41</v>
      </c>
      <c r="R274" s="14" t="s">
        <v>1027</v>
      </c>
      <c r="S274" s="14" t="s">
        <v>1028</v>
      </c>
      <c r="T274" s="14" t="s">
        <v>198</v>
      </c>
      <c r="U274" s="14" t="s">
        <v>45</v>
      </c>
      <c r="V274" s="14" t="s">
        <v>2374</v>
      </c>
      <c r="W274" s="14" t="s">
        <v>47</v>
      </c>
      <c r="X274" s="15" t="s">
        <v>2375</v>
      </c>
      <c r="Y274" s="14" t="s">
        <v>1595</v>
      </c>
      <c r="Z274" s="14" t="s">
        <v>50</v>
      </c>
    </row>
    <row r="275">
      <c r="A275" s="14" t="s">
        <v>2376</v>
      </c>
      <c r="B275" s="14" t="s">
        <v>386</v>
      </c>
      <c r="C275" s="14" t="s">
        <v>2367</v>
      </c>
      <c r="D275" s="14" t="s">
        <v>2368</v>
      </c>
      <c r="E275" s="14" t="s">
        <v>2369</v>
      </c>
      <c r="F275" s="14">
        <v>2025.0</v>
      </c>
      <c r="G275" s="14" t="s">
        <v>32</v>
      </c>
      <c r="H275" s="14" t="s">
        <v>33</v>
      </c>
      <c r="I275" s="14" t="s">
        <v>34</v>
      </c>
      <c r="J275" s="14" t="s">
        <v>35</v>
      </c>
      <c r="K275" s="15" t="s">
        <v>2377</v>
      </c>
      <c r="L275" s="14" t="s">
        <v>2378</v>
      </c>
      <c r="M275" s="14">
        <v>45.0</v>
      </c>
      <c r="N275" s="14" t="s">
        <v>2379</v>
      </c>
      <c r="O275" s="14" t="s">
        <v>2380</v>
      </c>
      <c r="P275" s="14" t="s">
        <v>2381</v>
      </c>
      <c r="Q275" s="14" t="s">
        <v>41</v>
      </c>
      <c r="R275" s="14" t="s">
        <v>404</v>
      </c>
      <c r="S275" s="14" t="s">
        <v>462</v>
      </c>
      <c r="T275" s="14" t="s">
        <v>44</v>
      </c>
      <c r="U275" s="14" t="s">
        <v>45</v>
      </c>
      <c r="V275" s="14" t="s">
        <v>2382</v>
      </c>
      <c r="W275" s="14" t="s">
        <v>47</v>
      </c>
      <c r="X275" s="15" t="s">
        <v>2383</v>
      </c>
      <c r="Y275" s="14" t="s">
        <v>1595</v>
      </c>
      <c r="Z275" s="14" t="s">
        <v>50</v>
      </c>
    </row>
    <row r="276">
      <c r="A276" s="14" t="s">
        <v>2384</v>
      </c>
      <c r="B276" s="14" t="s">
        <v>386</v>
      </c>
      <c r="C276" s="14" t="s">
        <v>2367</v>
      </c>
      <c r="D276" s="14" t="s">
        <v>2368</v>
      </c>
      <c r="E276" s="14" t="s">
        <v>2369</v>
      </c>
      <c r="F276" s="14">
        <v>2025.0</v>
      </c>
      <c r="G276" s="14" t="s">
        <v>32</v>
      </c>
      <c r="H276" s="14" t="s">
        <v>33</v>
      </c>
      <c r="I276" s="14" t="s">
        <v>34</v>
      </c>
      <c r="J276" s="14" t="s">
        <v>35</v>
      </c>
      <c r="K276" s="15" t="s">
        <v>2385</v>
      </c>
      <c r="L276" s="14" t="s">
        <v>2386</v>
      </c>
      <c r="M276" s="14">
        <v>33.0</v>
      </c>
      <c r="N276" s="14" t="s">
        <v>2387</v>
      </c>
      <c r="O276" s="14" t="s">
        <v>2388</v>
      </c>
      <c r="P276" s="14" t="s">
        <v>2389</v>
      </c>
      <c r="Q276" s="14" t="s">
        <v>41</v>
      </c>
      <c r="R276" s="14" t="s">
        <v>42</v>
      </c>
      <c r="S276" s="14" t="s">
        <v>337</v>
      </c>
      <c r="T276" s="14" t="s">
        <v>188</v>
      </c>
      <c r="U276" s="14" t="s">
        <v>45</v>
      </c>
      <c r="V276" s="14" t="s">
        <v>2390</v>
      </c>
      <c r="W276" s="14" t="s">
        <v>47</v>
      </c>
      <c r="X276" s="15" t="s">
        <v>2391</v>
      </c>
      <c r="Y276" s="14" t="s">
        <v>1595</v>
      </c>
      <c r="Z276" s="14" t="s">
        <v>50</v>
      </c>
    </row>
    <row r="277">
      <c r="A277" s="14" t="s">
        <v>2392</v>
      </c>
      <c r="B277" s="14" t="s">
        <v>386</v>
      </c>
      <c r="C277" s="14" t="s">
        <v>2367</v>
      </c>
      <c r="D277" s="14" t="s">
        <v>2368</v>
      </c>
      <c r="E277" s="14" t="s">
        <v>2369</v>
      </c>
      <c r="F277" s="14">
        <v>2025.0</v>
      </c>
      <c r="G277" s="14" t="s">
        <v>32</v>
      </c>
      <c r="H277" s="14" t="s">
        <v>33</v>
      </c>
      <c r="I277" s="14" t="s">
        <v>34</v>
      </c>
      <c r="J277" s="14" t="s">
        <v>35</v>
      </c>
      <c r="K277" s="15" t="s">
        <v>2393</v>
      </c>
      <c r="L277" s="14" t="s">
        <v>2394</v>
      </c>
      <c r="M277" s="14">
        <v>38.0</v>
      </c>
      <c r="N277" s="14" t="s">
        <v>2395</v>
      </c>
      <c r="O277" s="14" t="s">
        <v>2396</v>
      </c>
      <c r="P277" s="14" t="s">
        <v>2397</v>
      </c>
      <c r="Q277" s="14" t="s">
        <v>41</v>
      </c>
      <c r="R277" s="14" t="s">
        <v>273</v>
      </c>
      <c r="S277" s="14" t="s">
        <v>274</v>
      </c>
      <c r="T277" s="14" t="s">
        <v>198</v>
      </c>
      <c r="U277" s="14" t="s">
        <v>45</v>
      </c>
      <c r="V277" s="14" t="s">
        <v>2398</v>
      </c>
      <c r="W277" s="14" t="s">
        <v>47</v>
      </c>
      <c r="X277" s="15" t="s">
        <v>2399</v>
      </c>
      <c r="Y277" s="14" t="s">
        <v>1595</v>
      </c>
      <c r="Z277" s="14" t="s">
        <v>50</v>
      </c>
    </row>
    <row r="278">
      <c r="A278" s="14" t="s">
        <v>2400</v>
      </c>
      <c r="B278" s="14" t="s">
        <v>386</v>
      </c>
      <c r="C278" s="14" t="s">
        <v>2367</v>
      </c>
      <c r="D278" s="14" t="s">
        <v>2368</v>
      </c>
      <c r="E278" s="14" t="s">
        <v>2369</v>
      </c>
      <c r="F278" s="14">
        <v>2025.0</v>
      </c>
      <c r="G278" s="14" t="s">
        <v>32</v>
      </c>
      <c r="H278" s="14" t="s">
        <v>33</v>
      </c>
      <c r="I278" s="14" t="s">
        <v>34</v>
      </c>
      <c r="J278" s="14" t="s">
        <v>35</v>
      </c>
      <c r="K278" s="15" t="s">
        <v>2401</v>
      </c>
      <c r="L278" s="14" t="s">
        <v>2402</v>
      </c>
      <c r="M278" s="14">
        <v>31.0</v>
      </c>
      <c r="N278" s="14" t="s">
        <v>2403</v>
      </c>
      <c r="O278" s="14" t="s">
        <v>2404</v>
      </c>
      <c r="P278" s="14" t="s">
        <v>2405</v>
      </c>
      <c r="Q278" s="14" t="s">
        <v>41</v>
      </c>
      <c r="R278" s="14" t="s">
        <v>273</v>
      </c>
      <c r="S278" s="14" t="s">
        <v>2406</v>
      </c>
      <c r="T278" s="14" t="s">
        <v>198</v>
      </c>
      <c r="U278" s="14" t="s">
        <v>45</v>
      </c>
      <c r="V278" s="14" t="s">
        <v>2407</v>
      </c>
      <c r="W278" s="14" t="s">
        <v>47</v>
      </c>
      <c r="X278" s="15" t="s">
        <v>2408</v>
      </c>
      <c r="Y278" s="14" t="s">
        <v>1595</v>
      </c>
      <c r="Z278" s="14" t="s">
        <v>50</v>
      </c>
    </row>
    <row r="279">
      <c r="A279" s="14" t="s">
        <v>2409</v>
      </c>
      <c r="B279" s="14" t="s">
        <v>2410</v>
      </c>
      <c r="C279" s="14" t="s">
        <v>2411</v>
      </c>
      <c r="D279" s="14" t="s">
        <v>2412</v>
      </c>
      <c r="E279" s="14" t="s">
        <v>2413</v>
      </c>
      <c r="F279" s="14">
        <v>2024.0</v>
      </c>
      <c r="G279" s="14" t="s">
        <v>1131</v>
      </c>
      <c r="H279" s="14" t="s">
        <v>1132</v>
      </c>
      <c r="I279" s="14" t="s">
        <v>1133</v>
      </c>
      <c r="J279" s="14" t="s">
        <v>390</v>
      </c>
      <c r="K279" s="15" t="s">
        <v>2414</v>
      </c>
      <c r="L279" s="14" t="s">
        <v>2415</v>
      </c>
      <c r="M279" s="14">
        <v>26.0</v>
      </c>
      <c r="N279" s="14" t="s">
        <v>2329</v>
      </c>
      <c r="O279" s="14" t="s">
        <v>2416</v>
      </c>
      <c r="P279" s="14" t="s">
        <v>2417</v>
      </c>
      <c r="Q279" s="14" t="s">
        <v>41</v>
      </c>
      <c r="R279" s="14" t="s">
        <v>56</v>
      </c>
      <c r="S279" s="14" t="s">
        <v>177</v>
      </c>
      <c r="T279" s="14" t="s">
        <v>178</v>
      </c>
      <c r="U279" s="14" t="s">
        <v>45</v>
      </c>
      <c r="V279" s="14" t="s">
        <v>2418</v>
      </c>
      <c r="W279" s="14" t="s">
        <v>1079</v>
      </c>
      <c r="X279" s="15" t="s">
        <v>2419</v>
      </c>
      <c r="Y279" s="14" t="s">
        <v>1595</v>
      </c>
      <c r="Z279" s="14" t="s">
        <v>50</v>
      </c>
    </row>
    <row r="280">
      <c r="A280" s="14" t="s">
        <v>2420</v>
      </c>
      <c r="B280" s="14" t="s">
        <v>2410</v>
      </c>
      <c r="C280" s="14" t="s">
        <v>2411</v>
      </c>
      <c r="D280" s="14" t="s">
        <v>2412</v>
      </c>
      <c r="E280" s="18" t="s">
        <v>2413</v>
      </c>
      <c r="F280" s="14">
        <v>2024.0</v>
      </c>
      <c r="G280" s="14" t="s">
        <v>1131</v>
      </c>
      <c r="H280" s="14" t="s">
        <v>1132</v>
      </c>
      <c r="I280" s="14" t="s">
        <v>1133</v>
      </c>
      <c r="J280" s="14" t="s">
        <v>390</v>
      </c>
      <c r="K280" s="15" t="s">
        <v>2421</v>
      </c>
      <c r="L280" s="14" t="s">
        <v>2422</v>
      </c>
      <c r="M280" s="14">
        <v>19.0</v>
      </c>
      <c r="N280" s="14" t="s">
        <v>2423</v>
      </c>
      <c r="O280" s="14" t="s">
        <v>2424</v>
      </c>
      <c r="P280" s="14" t="s">
        <v>2425</v>
      </c>
      <c r="Q280" s="14" t="s">
        <v>41</v>
      </c>
      <c r="R280" s="14" t="s">
        <v>42</v>
      </c>
      <c r="S280" s="14" t="s">
        <v>153</v>
      </c>
      <c r="T280" s="14" t="s">
        <v>58</v>
      </c>
      <c r="U280" s="14" t="s">
        <v>45</v>
      </c>
      <c r="V280" s="14" t="s">
        <v>2426</v>
      </c>
      <c r="W280" s="14" t="s">
        <v>1079</v>
      </c>
      <c r="X280" s="15" t="s">
        <v>2427</v>
      </c>
      <c r="Y280" s="14" t="s">
        <v>1595</v>
      </c>
      <c r="Z280" s="14" t="s">
        <v>50</v>
      </c>
    </row>
    <row r="281">
      <c r="A281" s="14" t="s">
        <v>2428</v>
      </c>
      <c r="B281" s="14" t="s">
        <v>2410</v>
      </c>
      <c r="C281" s="14" t="s">
        <v>2411</v>
      </c>
      <c r="D281" s="14" t="s">
        <v>2412</v>
      </c>
      <c r="E281" s="14" t="s">
        <v>2413</v>
      </c>
      <c r="F281" s="14">
        <v>2024.0</v>
      </c>
      <c r="G281" s="14" t="s">
        <v>1131</v>
      </c>
      <c r="H281" s="14" t="s">
        <v>1132</v>
      </c>
      <c r="I281" s="14" t="s">
        <v>1133</v>
      </c>
      <c r="J281" s="14" t="s">
        <v>1134</v>
      </c>
      <c r="K281" s="15" t="s">
        <v>2429</v>
      </c>
      <c r="L281" s="14" t="s">
        <v>2415</v>
      </c>
      <c r="M281" s="14">
        <v>28.0</v>
      </c>
      <c r="N281" s="14" t="s">
        <v>2430</v>
      </c>
      <c r="O281" s="14" t="s">
        <v>2431</v>
      </c>
      <c r="P281" s="14" t="s">
        <v>2432</v>
      </c>
      <c r="Q281" s="14" t="s">
        <v>316</v>
      </c>
      <c r="R281" s="14" t="s">
        <v>404</v>
      </c>
      <c r="S281" s="14" t="s">
        <v>405</v>
      </c>
      <c r="T281" s="14" t="s">
        <v>44</v>
      </c>
      <c r="U281" s="14" t="s">
        <v>45</v>
      </c>
      <c r="V281" s="14" t="s">
        <v>2433</v>
      </c>
      <c r="W281" s="14" t="s">
        <v>1079</v>
      </c>
      <c r="X281" s="15" t="s">
        <v>2434</v>
      </c>
      <c r="Y281" s="14" t="s">
        <v>1595</v>
      </c>
      <c r="Z281" s="14" t="s">
        <v>50</v>
      </c>
    </row>
    <row r="282">
      <c r="A282" s="14" t="s">
        <v>2435</v>
      </c>
      <c r="B282" s="14" t="s">
        <v>2436</v>
      </c>
      <c r="C282" s="14" t="s">
        <v>2437</v>
      </c>
      <c r="D282" s="14" t="s">
        <v>2438</v>
      </c>
      <c r="E282" s="14" t="s">
        <v>2439</v>
      </c>
      <c r="F282" s="14">
        <v>2025.0</v>
      </c>
      <c r="G282" s="14" t="s">
        <v>32</v>
      </c>
      <c r="H282" s="14" t="s">
        <v>33</v>
      </c>
      <c r="I282" s="14" t="s">
        <v>34</v>
      </c>
      <c r="J282" s="14" t="s">
        <v>35</v>
      </c>
      <c r="K282" s="15" t="s">
        <v>2440</v>
      </c>
      <c r="L282" s="14" t="s">
        <v>2441</v>
      </c>
      <c r="M282" s="14">
        <v>16.0</v>
      </c>
      <c r="N282" s="14" t="s">
        <v>2442</v>
      </c>
      <c r="O282" s="14" t="s">
        <v>2443</v>
      </c>
      <c r="P282" s="14" t="s">
        <v>2444</v>
      </c>
      <c r="Q282" s="14" t="s">
        <v>41</v>
      </c>
      <c r="R282" s="14" t="s">
        <v>42</v>
      </c>
      <c r="S282" s="14" t="s">
        <v>67</v>
      </c>
      <c r="T282" s="14" t="s">
        <v>188</v>
      </c>
      <c r="U282" s="14" t="s">
        <v>45</v>
      </c>
      <c r="V282" s="14" t="s">
        <v>2445</v>
      </c>
      <c r="W282" s="14" t="s">
        <v>47</v>
      </c>
      <c r="X282" s="15" t="s">
        <v>2446</v>
      </c>
      <c r="Y282" s="14" t="s">
        <v>1595</v>
      </c>
      <c r="Z282" s="14" t="s">
        <v>50</v>
      </c>
    </row>
    <row r="283">
      <c r="A283" s="14" t="s">
        <v>2447</v>
      </c>
      <c r="B283" s="14" t="s">
        <v>2436</v>
      </c>
      <c r="C283" s="14" t="s">
        <v>2437</v>
      </c>
      <c r="D283" s="14" t="s">
        <v>2438</v>
      </c>
      <c r="E283" s="14" t="s">
        <v>2439</v>
      </c>
      <c r="F283" s="14">
        <v>2025.0</v>
      </c>
      <c r="G283" s="14" t="s">
        <v>32</v>
      </c>
      <c r="H283" s="14" t="s">
        <v>33</v>
      </c>
      <c r="I283" s="14" t="s">
        <v>34</v>
      </c>
      <c r="J283" s="14" t="s">
        <v>1987</v>
      </c>
      <c r="K283" s="15" t="s">
        <v>2448</v>
      </c>
      <c r="L283" s="14" t="s">
        <v>2441</v>
      </c>
      <c r="M283" s="14">
        <v>8.0</v>
      </c>
      <c r="N283" s="14" t="s">
        <v>2449</v>
      </c>
      <c r="O283" s="14" t="s">
        <v>2450</v>
      </c>
      <c r="P283" s="14" t="s">
        <v>2451</v>
      </c>
      <c r="Q283" s="14" t="s">
        <v>41</v>
      </c>
      <c r="R283" s="14" t="s">
        <v>273</v>
      </c>
      <c r="S283" s="14" t="s">
        <v>2406</v>
      </c>
      <c r="T283" s="14" t="s">
        <v>198</v>
      </c>
      <c r="U283" s="14" t="s">
        <v>45</v>
      </c>
      <c r="V283" s="14" t="s">
        <v>2452</v>
      </c>
      <c r="W283" s="14" t="s">
        <v>47</v>
      </c>
      <c r="X283" s="15" t="s">
        <v>2453</v>
      </c>
      <c r="Y283" s="14" t="s">
        <v>1595</v>
      </c>
      <c r="Z283" s="14" t="s">
        <v>50</v>
      </c>
    </row>
    <row r="284">
      <c r="A284" s="14" t="s">
        <v>2454</v>
      </c>
      <c r="B284" s="14" t="s">
        <v>2436</v>
      </c>
      <c r="C284" s="14" t="s">
        <v>2437</v>
      </c>
      <c r="D284" s="14" t="s">
        <v>2438</v>
      </c>
      <c r="E284" s="14" t="s">
        <v>2439</v>
      </c>
      <c r="F284" s="14">
        <v>2025.0</v>
      </c>
      <c r="G284" s="14" t="s">
        <v>32</v>
      </c>
      <c r="H284" s="14" t="s">
        <v>33</v>
      </c>
      <c r="I284" s="14" t="s">
        <v>34</v>
      </c>
      <c r="J284" s="14" t="s">
        <v>390</v>
      </c>
      <c r="K284" s="15" t="s">
        <v>2455</v>
      </c>
      <c r="L284" s="14" t="s">
        <v>2456</v>
      </c>
      <c r="M284" s="14">
        <v>13.0</v>
      </c>
      <c r="N284" s="14" t="s">
        <v>2457</v>
      </c>
      <c r="O284" s="14" t="s">
        <v>2458</v>
      </c>
      <c r="P284" s="14" t="s">
        <v>2459</v>
      </c>
      <c r="Q284" s="14" t="s">
        <v>41</v>
      </c>
      <c r="R284" s="14" t="s">
        <v>1027</v>
      </c>
      <c r="S284" s="14" t="s">
        <v>2231</v>
      </c>
      <c r="T284" s="14" t="s">
        <v>198</v>
      </c>
      <c r="U284" s="14" t="s">
        <v>45</v>
      </c>
      <c r="V284" s="14" t="s">
        <v>2460</v>
      </c>
      <c r="W284" s="14" t="s">
        <v>47</v>
      </c>
      <c r="X284" s="15" t="s">
        <v>2461</v>
      </c>
      <c r="Y284" s="14" t="s">
        <v>1595</v>
      </c>
      <c r="Z284" s="14" t="s">
        <v>50</v>
      </c>
    </row>
    <row r="285">
      <c r="A285" s="14" t="s">
        <v>2462</v>
      </c>
      <c r="B285" s="14" t="s">
        <v>386</v>
      </c>
      <c r="C285" s="14" t="s">
        <v>2463</v>
      </c>
      <c r="D285" s="14" t="s">
        <v>2464</v>
      </c>
      <c r="E285" s="14" t="s">
        <v>2465</v>
      </c>
      <c r="F285" s="14">
        <v>2024.0</v>
      </c>
      <c r="G285" s="14" t="s">
        <v>32</v>
      </c>
      <c r="H285" s="14" t="s">
        <v>33</v>
      </c>
      <c r="I285" s="14" t="s">
        <v>34</v>
      </c>
      <c r="J285" s="14" t="s">
        <v>35</v>
      </c>
      <c r="K285" s="15" t="s">
        <v>2466</v>
      </c>
      <c r="L285" s="14" t="s">
        <v>2467</v>
      </c>
      <c r="M285" s="14">
        <v>26.0</v>
      </c>
      <c r="N285" s="14" t="s">
        <v>2468</v>
      </c>
      <c r="O285" s="14" t="s">
        <v>2469</v>
      </c>
      <c r="P285" s="14" t="s">
        <v>2470</v>
      </c>
      <c r="Q285" s="14" t="s">
        <v>41</v>
      </c>
      <c r="R285" s="14" t="s">
        <v>78</v>
      </c>
      <c r="S285" s="14" t="s">
        <v>79</v>
      </c>
      <c r="T285" s="14" t="s">
        <v>44</v>
      </c>
      <c r="U285" s="14" t="s">
        <v>45</v>
      </c>
      <c r="V285" s="14" t="s">
        <v>2471</v>
      </c>
      <c r="W285" s="14" t="s">
        <v>47</v>
      </c>
      <c r="X285" s="15" t="s">
        <v>2472</v>
      </c>
      <c r="Y285" s="14" t="s">
        <v>1595</v>
      </c>
      <c r="Z285" s="14" t="s">
        <v>50</v>
      </c>
    </row>
    <row r="286">
      <c r="A286" s="14" t="s">
        <v>2473</v>
      </c>
      <c r="B286" s="14" t="s">
        <v>386</v>
      </c>
      <c r="C286" s="14" t="s">
        <v>2463</v>
      </c>
      <c r="D286" s="14" t="s">
        <v>2464</v>
      </c>
      <c r="E286" s="14" t="s">
        <v>2465</v>
      </c>
      <c r="F286" s="14">
        <v>2024.0</v>
      </c>
      <c r="G286" s="14" t="s">
        <v>32</v>
      </c>
      <c r="H286" s="14" t="s">
        <v>33</v>
      </c>
      <c r="I286" s="14" t="s">
        <v>34</v>
      </c>
      <c r="J286" s="14" t="s">
        <v>35</v>
      </c>
      <c r="K286" s="15" t="s">
        <v>2474</v>
      </c>
      <c r="L286" s="14" t="s">
        <v>2475</v>
      </c>
      <c r="M286" s="14">
        <v>16.0</v>
      </c>
      <c r="N286" s="14" t="s">
        <v>2476</v>
      </c>
      <c r="O286" s="14" t="s">
        <v>2477</v>
      </c>
      <c r="P286" s="14" t="s">
        <v>2478</v>
      </c>
      <c r="Q286" s="14" t="s">
        <v>41</v>
      </c>
      <c r="R286" s="14" t="s">
        <v>42</v>
      </c>
      <c r="S286" s="14" t="s">
        <v>337</v>
      </c>
      <c r="T286" s="14" t="s">
        <v>58</v>
      </c>
      <c r="U286" s="14" t="s">
        <v>45</v>
      </c>
      <c r="V286" s="14" t="s">
        <v>2479</v>
      </c>
      <c r="W286" s="14" t="s">
        <v>47</v>
      </c>
      <c r="X286" s="15" t="s">
        <v>2480</v>
      </c>
      <c r="Y286" s="14" t="s">
        <v>1595</v>
      </c>
      <c r="Z286" s="14" t="s">
        <v>50</v>
      </c>
    </row>
    <row r="287">
      <c r="A287" s="14" t="s">
        <v>2481</v>
      </c>
      <c r="B287" s="14" t="s">
        <v>386</v>
      </c>
      <c r="C287" s="14" t="s">
        <v>2463</v>
      </c>
      <c r="D287" s="14" t="s">
        <v>2464</v>
      </c>
      <c r="E287" s="14" t="s">
        <v>2465</v>
      </c>
      <c r="F287" s="14">
        <v>2024.0</v>
      </c>
      <c r="G287" s="14" t="s">
        <v>32</v>
      </c>
      <c r="H287" s="14" t="s">
        <v>33</v>
      </c>
      <c r="I287" s="14" t="s">
        <v>34</v>
      </c>
      <c r="J287" s="14" t="s">
        <v>35</v>
      </c>
      <c r="K287" s="15" t="s">
        <v>2482</v>
      </c>
      <c r="L287" s="14" t="s">
        <v>2483</v>
      </c>
      <c r="M287" s="14">
        <v>15.0</v>
      </c>
      <c r="N287" s="14" t="s">
        <v>2484</v>
      </c>
      <c r="O287" s="14" t="s">
        <v>2485</v>
      </c>
      <c r="P287" s="14" t="s">
        <v>2486</v>
      </c>
      <c r="Q287" s="14" t="s">
        <v>41</v>
      </c>
      <c r="R287" s="14" t="s">
        <v>42</v>
      </c>
      <c r="S287" s="14" t="s">
        <v>43</v>
      </c>
      <c r="T287" s="14" t="s">
        <v>160</v>
      </c>
      <c r="U287" s="14" t="s">
        <v>45</v>
      </c>
      <c r="V287" s="14" t="s">
        <v>2487</v>
      </c>
      <c r="W287" s="14" t="s">
        <v>1079</v>
      </c>
      <c r="X287" s="15" t="s">
        <v>2488</v>
      </c>
      <c r="Y287" s="14" t="s">
        <v>1595</v>
      </c>
      <c r="Z287" s="14" t="s">
        <v>50</v>
      </c>
    </row>
    <row r="288">
      <c r="A288" s="14" t="s">
        <v>2489</v>
      </c>
      <c r="B288" s="14" t="s">
        <v>386</v>
      </c>
      <c r="C288" s="14" t="s">
        <v>2463</v>
      </c>
      <c r="D288" s="14" t="s">
        <v>2464</v>
      </c>
      <c r="E288" s="14" t="s">
        <v>2465</v>
      </c>
      <c r="F288" s="14">
        <v>2024.0</v>
      </c>
      <c r="G288" s="14" t="s">
        <v>32</v>
      </c>
      <c r="H288" s="14" t="s">
        <v>33</v>
      </c>
      <c r="I288" s="14" t="s">
        <v>34</v>
      </c>
      <c r="J288" s="14" t="s">
        <v>35</v>
      </c>
      <c r="K288" s="15" t="s">
        <v>2490</v>
      </c>
      <c r="L288" s="14" t="s">
        <v>2467</v>
      </c>
      <c r="M288" s="14">
        <v>24.0</v>
      </c>
      <c r="N288" s="14" t="s">
        <v>2491</v>
      </c>
      <c r="O288" s="14" t="s">
        <v>2492</v>
      </c>
      <c r="P288" s="14" t="s">
        <v>2493</v>
      </c>
      <c r="Q288" s="14" t="s">
        <v>41</v>
      </c>
      <c r="R288" s="14" t="s">
        <v>42</v>
      </c>
      <c r="S288" s="14" t="s">
        <v>522</v>
      </c>
      <c r="T288" s="14" t="s">
        <v>44</v>
      </c>
      <c r="U288" s="14" t="s">
        <v>45</v>
      </c>
      <c r="V288" s="14" t="s">
        <v>2494</v>
      </c>
      <c r="W288" s="14" t="s">
        <v>47</v>
      </c>
      <c r="X288" s="15" t="s">
        <v>2495</v>
      </c>
      <c r="Y288" s="14" t="s">
        <v>1595</v>
      </c>
      <c r="Z288" s="14" t="s">
        <v>50</v>
      </c>
    </row>
    <row r="289">
      <c r="A289" s="14" t="s">
        <v>2496</v>
      </c>
      <c r="B289" s="14" t="s">
        <v>386</v>
      </c>
      <c r="C289" s="14" t="s">
        <v>2463</v>
      </c>
      <c r="D289" s="14" t="s">
        <v>2464</v>
      </c>
      <c r="E289" s="14" t="s">
        <v>2465</v>
      </c>
      <c r="F289" s="14">
        <v>2024.0</v>
      </c>
      <c r="G289" s="14" t="s">
        <v>32</v>
      </c>
      <c r="H289" s="14" t="s">
        <v>33</v>
      </c>
      <c r="I289" s="14" t="s">
        <v>34</v>
      </c>
      <c r="J289" s="14" t="s">
        <v>35</v>
      </c>
      <c r="K289" s="15" t="s">
        <v>2497</v>
      </c>
      <c r="L289" s="14" t="s">
        <v>2498</v>
      </c>
      <c r="M289" s="14">
        <v>9.0</v>
      </c>
      <c r="N289" s="14" t="s">
        <v>2499</v>
      </c>
      <c r="O289" s="14" t="s">
        <v>2500</v>
      </c>
      <c r="P289" s="14" t="s">
        <v>2501</v>
      </c>
      <c r="Q289" s="14" t="s">
        <v>41</v>
      </c>
      <c r="R289" s="14" t="s">
        <v>1027</v>
      </c>
      <c r="S289" s="14" t="s">
        <v>2502</v>
      </c>
      <c r="T289" s="14" t="s">
        <v>104</v>
      </c>
      <c r="U289" s="14" t="s">
        <v>45</v>
      </c>
      <c r="V289" s="14" t="s">
        <v>2503</v>
      </c>
      <c r="W289" s="14" t="s">
        <v>47</v>
      </c>
      <c r="X289" s="15" t="s">
        <v>2504</v>
      </c>
      <c r="Y289" s="14" t="s">
        <v>1595</v>
      </c>
      <c r="Z289" s="14" t="s">
        <v>50</v>
      </c>
    </row>
    <row r="290">
      <c r="A290" s="14" t="s">
        <v>2505</v>
      </c>
      <c r="B290" s="14" t="s">
        <v>386</v>
      </c>
      <c r="C290" s="14" t="s">
        <v>1585</v>
      </c>
      <c r="D290" s="14" t="s">
        <v>2506</v>
      </c>
      <c r="E290" s="14" t="s">
        <v>2507</v>
      </c>
      <c r="F290" s="14">
        <v>2013.0</v>
      </c>
      <c r="G290" s="14" t="s">
        <v>1131</v>
      </c>
      <c r="H290" s="14" t="s">
        <v>2508</v>
      </c>
      <c r="I290" s="14" t="s">
        <v>1133</v>
      </c>
      <c r="J290" s="14" t="s">
        <v>1134</v>
      </c>
      <c r="K290" s="15" t="s">
        <v>2509</v>
      </c>
      <c r="L290" s="14" t="s">
        <v>2510</v>
      </c>
      <c r="M290" s="14">
        <v>41.0</v>
      </c>
      <c r="N290" s="14" t="s">
        <v>2511</v>
      </c>
      <c r="O290" s="14" t="s">
        <v>2512</v>
      </c>
      <c r="P290" s="14" t="s">
        <v>2513</v>
      </c>
      <c r="Q290" s="14" t="s">
        <v>41</v>
      </c>
      <c r="R290" s="14" t="s">
        <v>42</v>
      </c>
      <c r="S290" s="14" t="s">
        <v>266</v>
      </c>
      <c r="T290" s="14" t="s">
        <v>160</v>
      </c>
      <c r="U290" s="14" t="s">
        <v>45</v>
      </c>
      <c r="V290" s="14" t="s">
        <v>2514</v>
      </c>
      <c r="W290" s="14" t="s">
        <v>1079</v>
      </c>
      <c r="X290" s="15" t="s">
        <v>2515</v>
      </c>
      <c r="Y290" s="14" t="s">
        <v>1595</v>
      </c>
      <c r="Z290" s="14" t="s">
        <v>50</v>
      </c>
    </row>
    <row r="291">
      <c r="A291" s="14" t="s">
        <v>2516</v>
      </c>
      <c r="B291" s="14" t="s">
        <v>386</v>
      </c>
      <c r="C291" s="14" t="s">
        <v>1585</v>
      </c>
      <c r="D291" s="14" t="s">
        <v>2506</v>
      </c>
      <c r="E291" s="14" t="s">
        <v>2507</v>
      </c>
      <c r="F291" s="14">
        <v>2013.0</v>
      </c>
      <c r="G291" s="14" t="s">
        <v>1131</v>
      </c>
      <c r="H291" s="14" t="s">
        <v>2508</v>
      </c>
      <c r="I291" s="14" t="s">
        <v>1133</v>
      </c>
      <c r="J291" s="14" t="s">
        <v>1134</v>
      </c>
      <c r="K291" s="15" t="s">
        <v>2517</v>
      </c>
      <c r="L291" s="14" t="s">
        <v>2518</v>
      </c>
      <c r="M291" s="14">
        <v>20.0</v>
      </c>
      <c r="N291" s="14" t="s">
        <v>2519</v>
      </c>
      <c r="O291" s="14" t="s">
        <v>2520</v>
      </c>
      <c r="P291" s="14" t="s">
        <v>2521</v>
      </c>
      <c r="Q291" s="14" t="s">
        <v>316</v>
      </c>
      <c r="R291" s="14" t="s">
        <v>56</v>
      </c>
      <c r="S291" s="14" t="s">
        <v>714</v>
      </c>
      <c r="T291" s="14" t="s">
        <v>104</v>
      </c>
      <c r="U291" s="14" t="s">
        <v>45</v>
      </c>
      <c r="V291" s="14" t="s">
        <v>2522</v>
      </c>
      <c r="W291" s="14" t="s">
        <v>1079</v>
      </c>
      <c r="X291" s="15" t="s">
        <v>2523</v>
      </c>
      <c r="Y291" s="14" t="s">
        <v>1595</v>
      </c>
      <c r="Z291" s="14" t="s">
        <v>50</v>
      </c>
    </row>
    <row r="292">
      <c r="A292" s="14" t="s">
        <v>2524</v>
      </c>
      <c r="B292" s="14" t="s">
        <v>386</v>
      </c>
      <c r="C292" s="14" t="s">
        <v>1585</v>
      </c>
      <c r="D292" s="14" t="s">
        <v>2506</v>
      </c>
      <c r="E292" s="14" t="s">
        <v>2507</v>
      </c>
      <c r="F292" s="14">
        <v>2013.0</v>
      </c>
      <c r="G292" s="14" t="s">
        <v>1131</v>
      </c>
      <c r="H292" s="14" t="s">
        <v>2508</v>
      </c>
      <c r="I292" s="14" t="s">
        <v>1133</v>
      </c>
      <c r="J292" s="14" t="s">
        <v>1134</v>
      </c>
      <c r="K292" s="15" t="s">
        <v>2525</v>
      </c>
      <c r="L292" s="14" t="s">
        <v>2526</v>
      </c>
      <c r="M292" s="14">
        <v>38.0</v>
      </c>
      <c r="N292" s="14" t="s">
        <v>2527</v>
      </c>
      <c r="O292" s="14" t="s">
        <v>2528</v>
      </c>
      <c r="P292" s="14" t="s">
        <v>2529</v>
      </c>
      <c r="Q292" s="14" t="s">
        <v>316</v>
      </c>
      <c r="R292" s="14" t="s">
        <v>404</v>
      </c>
      <c r="S292" s="14" t="s">
        <v>1879</v>
      </c>
      <c r="T292" s="14" t="s">
        <v>504</v>
      </c>
      <c r="U292" s="14" t="s">
        <v>45</v>
      </c>
      <c r="V292" s="14" t="s">
        <v>46</v>
      </c>
      <c r="W292" s="14" t="s">
        <v>2530</v>
      </c>
      <c r="X292" s="15" t="s">
        <v>2531</v>
      </c>
      <c r="Y292" s="14" t="s">
        <v>1595</v>
      </c>
      <c r="Z292" s="14" t="s">
        <v>50</v>
      </c>
    </row>
    <row r="293">
      <c r="A293" s="14" t="s">
        <v>2532</v>
      </c>
      <c r="B293" s="14" t="s">
        <v>28</v>
      </c>
      <c r="C293" s="14" t="s">
        <v>320</v>
      </c>
      <c r="D293" s="14" t="s">
        <v>408</v>
      </c>
      <c r="E293" s="14"/>
      <c r="F293" s="14">
        <v>2024.0</v>
      </c>
      <c r="G293" s="14" t="s">
        <v>32</v>
      </c>
      <c r="H293" s="14" t="s">
        <v>2533</v>
      </c>
      <c r="I293" s="14" t="s">
        <v>34</v>
      </c>
      <c r="J293" s="14" t="s">
        <v>2534</v>
      </c>
      <c r="K293" s="15" t="s">
        <v>2535</v>
      </c>
      <c r="L293" s="14" t="s">
        <v>2536</v>
      </c>
      <c r="M293" s="14">
        <v>17.0</v>
      </c>
      <c r="N293" s="14" t="s">
        <v>2537</v>
      </c>
      <c r="O293" s="14" t="s">
        <v>2538</v>
      </c>
      <c r="P293" s="14" t="s">
        <v>2539</v>
      </c>
      <c r="Q293" s="14" t="s">
        <v>2540</v>
      </c>
      <c r="R293" s="14" t="s">
        <v>56</v>
      </c>
      <c r="S293" s="14" t="s">
        <v>57</v>
      </c>
      <c r="T293" s="14" t="s">
        <v>198</v>
      </c>
      <c r="U293" s="14" t="s">
        <v>45</v>
      </c>
      <c r="V293" s="14" t="s">
        <v>2541</v>
      </c>
      <c r="W293" s="14" t="s">
        <v>47</v>
      </c>
      <c r="X293" s="15" t="s">
        <v>2542</v>
      </c>
      <c r="Y293" s="14" t="s">
        <v>2543</v>
      </c>
      <c r="Z293" s="14" t="s">
        <v>50</v>
      </c>
      <c r="AA293" s="16"/>
    </row>
    <row r="294">
      <c r="A294" s="14" t="s">
        <v>2544</v>
      </c>
      <c r="B294" s="14" t="s">
        <v>28</v>
      </c>
      <c r="C294" s="14" t="s">
        <v>905</v>
      </c>
      <c r="D294" s="14" t="s">
        <v>2545</v>
      </c>
      <c r="E294" s="14"/>
      <c r="F294" s="14">
        <v>2025.0</v>
      </c>
      <c r="G294" s="14" t="s">
        <v>32</v>
      </c>
      <c r="H294" s="14" t="s">
        <v>2533</v>
      </c>
      <c r="I294" s="14" t="s">
        <v>34</v>
      </c>
      <c r="J294" s="14" t="s">
        <v>2534</v>
      </c>
      <c r="K294" s="15" t="s">
        <v>2546</v>
      </c>
      <c r="L294" s="14" t="s">
        <v>2378</v>
      </c>
      <c r="M294" s="14">
        <v>19.0</v>
      </c>
      <c r="N294" s="14" t="s">
        <v>2537</v>
      </c>
      <c r="O294" s="14" t="s">
        <v>2538</v>
      </c>
      <c r="P294" s="14" t="s">
        <v>2539</v>
      </c>
      <c r="Q294" s="14" t="s">
        <v>2540</v>
      </c>
      <c r="R294" s="14" t="s">
        <v>56</v>
      </c>
      <c r="S294" s="14" t="s">
        <v>57</v>
      </c>
      <c r="T294" s="14" t="s">
        <v>198</v>
      </c>
      <c r="U294" s="14" t="s">
        <v>45</v>
      </c>
      <c r="V294" s="14" t="s">
        <v>2541</v>
      </c>
      <c r="W294" s="14" t="s">
        <v>47</v>
      </c>
      <c r="X294" s="15" t="s">
        <v>2547</v>
      </c>
      <c r="Y294" s="14" t="s">
        <v>2543</v>
      </c>
      <c r="Z294" s="14" t="s">
        <v>50</v>
      </c>
      <c r="AA294" s="16"/>
    </row>
    <row r="295">
      <c r="A295" s="14" t="s">
        <v>2548</v>
      </c>
      <c r="B295" s="14" t="s">
        <v>28</v>
      </c>
      <c r="C295" s="14" t="s">
        <v>533</v>
      </c>
      <c r="D295" s="14" t="s">
        <v>575</v>
      </c>
      <c r="E295" s="14"/>
      <c r="F295" s="14">
        <v>2025.0</v>
      </c>
      <c r="G295" s="14" t="s">
        <v>32</v>
      </c>
      <c r="H295" s="14" t="s">
        <v>2533</v>
      </c>
      <c r="I295" s="14" t="s">
        <v>34</v>
      </c>
      <c r="J295" s="14" t="s">
        <v>2534</v>
      </c>
      <c r="K295" s="15" t="s">
        <v>2549</v>
      </c>
      <c r="L295" s="14" t="s">
        <v>2550</v>
      </c>
      <c r="M295" s="14">
        <v>16.0</v>
      </c>
      <c r="N295" s="14" t="s">
        <v>2537</v>
      </c>
      <c r="O295" s="14" t="s">
        <v>2538</v>
      </c>
      <c r="P295" s="14" t="s">
        <v>2539</v>
      </c>
      <c r="Q295" s="14" t="s">
        <v>2540</v>
      </c>
      <c r="R295" s="14" t="s">
        <v>56</v>
      </c>
      <c r="S295" s="14" t="s">
        <v>57</v>
      </c>
      <c r="T295" s="14" t="s">
        <v>198</v>
      </c>
      <c r="U295" s="14" t="s">
        <v>45</v>
      </c>
      <c r="V295" s="14" t="s">
        <v>2541</v>
      </c>
      <c r="W295" s="14" t="s">
        <v>47</v>
      </c>
      <c r="X295" s="15" t="s">
        <v>2551</v>
      </c>
      <c r="Y295" s="14" t="s">
        <v>2543</v>
      </c>
      <c r="Z295" s="14" t="s">
        <v>50</v>
      </c>
      <c r="AA295" s="16"/>
    </row>
    <row r="296">
      <c r="A296" s="14" t="s">
        <v>2552</v>
      </c>
      <c r="B296" s="14" t="s">
        <v>28</v>
      </c>
      <c r="C296" s="14" t="s">
        <v>708</v>
      </c>
      <c r="D296" s="14" t="s">
        <v>2553</v>
      </c>
      <c r="E296" s="14"/>
      <c r="F296" s="14">
        <v>2025.0</v>
      </c>
      <c r="G296" s="14" t="s">
        <v>32</v>
      </c>
      <c r="H296" s="14" t="s">
        <v>2533</v>
      </c>
      <c r="I296" s="14" t="s">
        <v>34</v>
      </c>
      <c r="J296" s="14" t="s">
        <v>2534</v>
      </c>
      <c r="K296" s="15" t="s">
        <v>2554</v>
      </c>
      <c r="L296" s="14" t="s">
        <v>2536</v>
      </c>
      <c r="M296" s="14">
        <v>16.0</v>
      </c>
      <c r="N296" s="14" t="s">
        <v>2537</v>
      </c>
      <c r="O296" s="14" t="s">
        <v>2538</v>
      </c>
      <c r="P296" s="14" t="s">
        <v>2539</v>
      </c>
      <c r="Q296" s="14" t="s">
        <v>2540</v>
      </c>
      <c r="R296" s="14" t="s">
        <v>56</v>
      </c>
      <c r="S296" s="14" t="s">
        <v>57</v>
      </c>
      <c r="T296" s="14" t="s">
        <v>198</v>
      </c>
      <c r="U296" s="14" t="s">
        <v>45</v>
      </c>
      <c r="V296" s="14" t="s">
        <v>2541</v>
      </c>
      <c r="W296" s="14" t="s">
        <v>47</v>
      </c>
      <c r="X296" s="15" t="s">
        <v>2555</v>
      </c>
      <c r="Y296" s="14" t="s">
        <v>2543</v>
      </c>
      <c r="Z296" s="14" t="s">
        <v>50</v>
      </c>
      <c r="AA296" s="16"/>
    </row>
    <row r="297">
      <c r="A297" s="14" t="s">
        <v>2556</v>
      </c>
      <c r="B297" s="14" t="s">
        <v>28</v>
      </c>
      <c r="C297" s="14" t="s">
        <v>448</v>
      </c>
      <c r="D297" s="14" t="s">
        <v>2557</v>
      </c>
      <c r="E297" s="14"/>
      <c r="F297" s="14">
        <v>2025.0</v>
      </c>
      <c r="G297" s="14" t="s">
        <v>32</v>
      </c>
      <c r="H297" s="14" t="s">
        <v>2533</v>
      </c>
      <c r="I297" s="14" t="s">
        <v>34</v>
      </c>
      <c r="J297" s="14" t="s">
        <v>2534</v>
      </c>
      <c r="K297" s="15" t="s">
        <v>2558</v>
      </c>
      <c r="L297" s="14" t="s">
        <v>2559</v>
      </c>
      <c r="M297" s="14">
        <v>15.0</v>
      </c>
      <c r="N297" s="14" t="s">
        <v>2537</v>
      </c>
      <c r="O297" s="14" t="s">
        <v>2538</v>
      </c>
      <c r="P297" s="14" t="s">
        <v>2539</v>
      </c>
      <c r="Q297" s="14" t="s">
        <v>2540</v>
      </c>
      <c r="R297" s="14" t="s">
        <v>56</v>
      </c>
      <c r="S297" s="14" t="s">
        <v>57</v>
      </c>
      <c r="T297" s="14" t="s">
        <v>198</v>
      </c>
      <c r="U297" s="14" t="s">
        <v>45</v>
      </c>
      <c r="V297" s="14" t="s">
        <v>2541</v>
      </c>
      <c r="W297" s="14" t="s">
        <v>47</v>
      </c>
      <c r="X297" s="15" t="s">
        <v>2560</v>
      </c>
      <c r="Y297" s="14" t="s">
        <v>2543</v>
      </c>
      <c r="Z297" s="14" t="s">
        <v>50</v>
      </c>
      <c r="AA297" s="16"/>
    </row>
    <row r="298">
      <c r="A298" s="14" t="s">
        <v>2561</v>
      </c>
      <c r="B298" s="14" t="s">
        <v>28</v>
      </c>
      <c r="C298" s="14" t="s">
        <v>783</v>
      </c>
      <c r="D298" s="14" t="s">
        <v>2562</v>
      </c>
      <c r="E298" s="14"/>
      <c r="F298" s="14">
        <v>2024.0</v>
      </c>
      <c r="G298" s="14" t="s">
        <v>32</v>
      </c>
      <c r="H298" s="14" t="s">
        <v>2533</v>
      </c>
      <c r="I298" s="14" t="s">
        <v>34</v>
      </c>
      <c r="J298" s="14" t="s">
        <v>2534</v>
      </c>
      <c r="K298" s="15" t="s">
        <v>2563</v>
      </c>
      <c r="L298" s="14" t="s">
        <v>2564</v>
      </c>
      <c r="M298" s="14">
        <v>11.0</v>
      </c>
      <c r="N298" s="14" t="s">
        <v>2537</v>
      </c>
      <c r="O298" s="14" t="s">
        <v>2538</v>
      </c>
      <c r="P298" s="14" t="s">
        <v>2539</v>
      </c>
      <c r="Q298" s="14" t="s">
        <v>2540</v>
      </c>
      <c r="R298" s="14" t="s">
        <v>56</v>
      </c>
      <c r="S298" s="14" t="s">
        <v>57</v>
      </c>
      <c r="T298" s="14" t="s">
        <v>198</v>
      </c>
      <c r="U298" s="14" t="s">
        <v>45</v>
      </c>
      <c r="V298" s="14" t="s">
        <v>2541</v>
      </c>
      <c r="W298" s="14" t="s">
        <v>47</v>
      </c>
      <c r="X298" s="15" t="s">
        <v>2565</v>
      </c>
      <c r="Y298" s="14" t="s">
        <v>2543</v>
      </c>
      <c r="Z298" s="14" t="s">
        <v>50</v>
      </c>
      <c r="AA298" s="16"/>
    </row>
    <row r="299">
      <c r="A299" s="14" t="s">
        <v>2566</v>
      </c>
      <c r="B299" s="14" t="s">
        <v>386</v>
      </c>
      <c r="C299" s="14" t="s">
        <v>2567</v>
      </c>
      <c r="D299" s="14" t="s">
        <v>2568</v>
      </c>
      <c r="E299" s="14"/>
      <c r="F299" s="14">
        <v>2025.0</v>
      </c>
      <c r="G299" s="14" t="s">
        <v>32</v>
      </c>
      <c r="H299" s="14" t="s">
        <v>2533</v>
      </c>
      <c r="I299" s="14" t="s">
        <v>34</v>
      </c>
      <c r="J299" s="14" t="s">
        <v>2534</v>
      </c>
      <c r="K299" s="15" t="s">
        <v>2569</v>
      </c>
      <c r="L299" s="14" t="s">
        <v>2136</v>
      </c>
      <c r="M299" s="14">
        <v>14.0</v>
      </c>
      <c r="N299" s="14" t="s">
        <v>2570</v>
      </c>
      <c r="O299" s="14" t="s">
        <v>2571</v>
      </c>
      <c r="P299" s="14" t="s">
        <v>2572</v>
      </c>
      <c r="Q299" s="14" t="s">
        <v>2540</v>
      </c>
      <c r="R299" s="14" t="s">
        <v>78</v>
      </c>
      <c r="S299" s="14" t="s">
        <v>2573</v>
      </c>
      <c r="T299" s="14" t="s">
        <v>104</v>
      </c>
      <c r="U299" s="14" t="s">
        <v>45</v>
      </c>
      <c r="V299" s="14" t="s">
        <v>2574</v>
      </c>
      <c r="W299" s="14" t="s">
        <v>47</v>
      </c>
      <c r="X299" s="15" t="s">
        <v>2575</v>
      </c>
      <c r="Y299" s="14" t="s">
        <v>2543</v>
      </c>
      <c r="Z299" s="14" t="s">
        <v>50</v>
      </c>
      <c r="AA299" s="16"/>
    </row>
    <row r="300">
      <c r="A300" s="14" t="s">
        <v>2576</v>
      </c>
      <c r="B300" s="14" t="s">
        <v>386</v>
      </c>
      <c r="C300" s="14" t="s">
        <v>2567</v>
      </c>
      <c r="D300" s="14" t="s">
        <v>2568</v>
      </c>
      <c r="E300" s="14"/>
      <c r="F300" s="14">
        <v>2025.0</v>
      </c>
      <c r="G300" s="14" t="s">
        <v>32</v>
      </c>
      <c r="H300" s="14" t="s">
        <v>2533</v>
      </c>
      <c r="I300" s="14" t="s">
        <v>34</v>
      </c>
      <c r="J300" s="14" t="s">
        <v>2534</v>
      </c>
      <c r="K300" s="15" t="s">
        <v>2577</v>
      </c>
      <c r="L300" s="14" t="s">
        <v>2578</v>
      </c>
      <c r="M300" s="14">
        <v>17.0</v>
      </c>
      <c r="N300" s="14" t="s">
        <v>2570</v>
      </c>
      <c r="O300" s="14" t="s">
        <v>2579</v>
      </c>
      <c r="P300" s="14" t="s">
        <v>2572</v>
      </c>
      <c r="Q300" s="14" t="s">
        <v>2540</v>
      </c>
      <c r="R300" s="14" t="s">
        <v>78</v>
      </c>
      <c r="S300" s="14" t="s">
        <v>2573</v>
      </c>
      <c r="T300" s="14" t="s">
        <v>198</v>
      </c>
      <c r="U300" s="14" t="s">
        <v>45</v>
      </c>
      <c r="V300" s="14" t="s">
        <v>2574</v>
      </c>
      <c r="W300" s="14" t="s">
        <v>47</v>
      </c>
      <c r="X300" s="15" t="s">
        <v>2580</v>
      </c>
      <c r="Y300" s="14" t="s">
        <v>2543</v>
      </c>
      <c r="Z300" s="14" t="s">
        <v>50</v>
      </c>
      <c r="AA300" s="16"/>
    </row>
    <row r="301">
      <c r="A301" s="14" t="s">
        <v>2581</v>
      </c>
      <c r="B301" s="14" t="s">
        <v>386</v>
      </c>
      <c r="C301" s="14" t="s">
        <v>2567</v>
      </c>
      <c r="D301" s="14" t="s">
        <v>2568</v>
      </c>
      <c r="E301" s="14"/>
      <c r="F301" s="14">
        <v>2025.0</v>
      </c>
      <c r="G301" s="14" t="s">
        <v>32</v>
      </c>
      <c r="H301" s="14" t="s">
        <v>2533</v>
      </c>
      <c r="I301" s="14" t="s">
        <v>34</v>
      </c>
      <c r="J301" s="14" t="s">
        <v>2534</v>
      </c>
      <c r="K301" s="15" t="s">
        <v>2582</v>
      </c>
      <c r="L301" s="14" t="s">
        <v>2136</v>
      </c>
      <c r="M301" s="14">
        <v>15.0</v>
      </c>
      <c r="N301" s="14" t="s">
        <v>2570</v>
      </c>
      <c r="O301" s="14" t="s">
        <v>2583</v>
      </c>
      <c r="P301" s="14" t="s">
        <v>2572</v>
      </c>
      <c r="Q301" s="14" t="s">
        <v>2540</v>
      </c>
      <c r="R301" s="14" t="s">
        <v>404</v>
      </c>
      <c r="S301" s="14" t="s">
        <v>2584</v>
      </c>
      <c r="T301" s="14" t="s">
        <v>198</v>
      </c>
      <c r="U301" s="14" t="s">
        <v>45</v>
      </c>
      <c r="V301" s="14" t="s">
        <v>2574</v>
      </c>
      <c r="W301" s="14" t="s">
        <v>47</v>
      </c>
      <c r="X301" s="15" t="s">
        <v>2585</v>
      </c>
      <c r="Y301" s="14" t="s">
        <v>2543</v>
      </c>
      <c r="Z301" s="14" t="s">
        <v>50</v>
      </c>
      <c r="AA301" s="16"/>
    </row>
    <row r="302">
      <c r="A302" s="14" t="s">
        <v>2586</v>
      </c>
      <c r="B302" s="14" t="s">
        <v>386</v>
      </c>
      <c r="C302" s="14" t="s">
        <v>2567</v>
      </c>
      <c r="D302" s="14" t="s">
        <v>2568</v>
      </c>
      <c r="E302" s="14"/>
      <c r="F302" s="14">
        <v>2025.0</v>
      </c>
      <c r="G302" s="14" t="s">
        <v>32</v>
      </c>
      <c r="H302" s="14" t="s">
        <v>2533</v>
      </c>
      <c r="I302" s="14" t="s">
        <v>34</v>
      </c>
      <c r="J302" s="14" t="s">
        <v>2534</v>
      </c>
      <c r="K302" s="15" t="s">
        <v>2587</v>
      </c>
      <c r="L302" s="14" t="s">
        <v>2578</v>
      </c>
      <c r="M302" s="14">
        <v>16.0</v>
      </c>
      <c r="N302" s="14" t="s">
        <v>2570</v>
      </c>
      <c r="O302" s="14" t="s">
        <v>2588</v>
      </c>
      <c r="P302" s="14" t="s">
        <v>2589</v>
      </c>
      <c r="Q302" s="14" t="s">
        <v>2540</v>
      </c>
      <c r="R302" s="14" t="s">
        <v>404</v>
      </c>
      <c r="S302" s="14" t="s">
        <v>2584</v>
      </c>
      <c r="T302" s="14" t="s">
        <v>104</v>
      </c>
      <c r="U302" s="14" t="s">
        <v>45</v>
      </c>
      <c r="V302" s="14" t="s">
        <v>2574</v>
      </c>
      <c r="W302" s="14" t="s">
        <v>47</v>
      </c>
      <c r="X302" s="15" t="s">
        <v>2590</v>
      </c>
      <c r="Y302" s="14" t="s">
        <v>2543</v>
      </c>
      <c r="Z302" s="14" t="s">
        <v>50</v>
      </c>
      <c r="AA302" s="16"/>
    </row>
    <row r="303">
      <c r="A303" s="14" t="s">
        <v>2591</v>
      </c>
      <c r="B303" s="14" t="s">
        <v>386</v>
      </c>
      <c r="C303" s="14" t="s">
        <v>2567</v>
      </c>
      <c r="D303" s="14" t="s">
        <v>2568</v>
      </c>
      <c r="E303" s="14"/>
      <c r="F303" s="14">
        <v>2025.0</v>
      </c>
      <c r="G303" s="14" t="s">
        <v>32</v>
      </c>
      <c r="H303" s="14" t="s">
        <v>2533</v>
      </c>
      <c r="I303" s="14" t="s">
        <v>34</v>
      </c>
      <c r="J303" s="14" t="s">
        <v>2534</v>
      </c>
      <c r="K303" s="15" t="s">
        <v>2592</v>
      </c>
      <c r="L303" s="14" t="s">
        <v>2578</v>
      </c>
      <c r="M303" s="14">
        <v>14.0</v>
      </c>
      <c r="N303" s="14" t="s">
        <v>2570</v>
      </c>
      <c r="O303" s="14" t="s">
        <v>2579</v>
      </c>
      <c r="P303" s="14" t="s">
        <v>2593</v>
      </c>
      <c r="Q303" s="14" t="s">
        <v>2540</v>
      </c>
      <c r="R303" s="14" t="s">
        <v>78</v>
      </c>
      <c r="S303" s="14" t="s">
        <v>2573</v>
      </c>
      <c r="T303" s="14" t="s">
        <v>104</v>
      </c>
      <c r="U303" s="14" t="s">
        <v>45</v>
      </c>
      <c r="V303" s="14" t="s">
        <v>2574</v>
      </c>
      <c r="W303" s="14" t="s">
        <v>47</v>
      </c>
      <c r="X303" s="15" t="s">
        <v>2594</v>
      </c>
      <c r="Y303" s="14" t="s">
        <v>2543</v>
      </c>
      <c r="Z303" s="14" t="s">
        <v>50</v>
      </c>
      <c r="AA303" s="16"/>
    </row>
    <row r="304">
      <c r="A304" s="14" t="s">
        <v>2595</v>
      </c>
      <c r="B304" s="14" t="s">
        <v>386</v>
      </c>
      <c r="C304" s="14" t="s">
        <v>2567</v>
      </c>
      <c r="D304" s="14" t="s">
        <v>2568</v>
      </c>
      <c r="E304" s="14"/>
      <c r="F304" s="14">
        <v>2025.0</v>
      </c>
      <c r="G304" s="14" t="s">
        <v>32</v>
      </c>
      <c r="H304" s="14" t="s">
        <v>2533</v>
      </c>
      <c r="I304" s="14" t="s">
        <v>34</v>
      </c>
      <c r="J304" s="14" t="s">
        <v>2534</v>
      </c>
      <c r="K304" s="15" t="s">
        <v>2596</v>
      </c>
      <c r="L304" s="14" t="s">
        <v>2136</v>
      </c>
      <c r="M304" s="14">
        <v>12.0</v>
      </c>
      <c r="N304" s="14" t="s">
        <v>2570</v>
      </c>
      <c r="O304" s="14" t="s">
        <v>2597</v>
      </c>
      <c r="P304" s="14" t="s">
        <v>2593</v>
      </c>
      <c r="Q304" s="14" t="s">
        <v>2540</v>
      </c>
      <c r="R304" s="14" t="s">
        <v>404</v>
      </c>
      <c r="S304" s="14" t="s">
        <v>2584</v>
      </c>
      <c r="T304" s="14" t="s">
        <v>104</v>
      </c>
      <c r="U304" s="14" t="s">
        <v>45</v>
      </c>
      <c r="V304" s="14" t="s">
        <v>2574</v>
      </c>
      <c r="W304" s="14" t="s">
        <v>47</v>
      </c>
      <c r="X304" s="15" t="s">
        <v>2598</v>
      </c>
      <c r="Y304" s="14" t="s">
        <v>2543</v>
      </c>
      <c r="Z304" s="14" t="s">
        <v>50</v>
      </c>
      <c r="AA304" s="16"/>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6"/>
      <c r="C493" s="19"/>
      <c r="D493" s="19"/>
      <c r="E493" s="19"/>
      <c r="F493" s="19"/>
      <c r="G493" s="16"/>
      <c r="H493" s="16"/>
      <c r="I493" s="16"/>
      <c r="J493" s="16"/>
      <c r="K493" s="19"/>
      <c r="L493" s="19"/>
      <c r="M493" s="19"/>
      <c r="N493" s="19"/>
      <c r="O493" s="19"/>
      <c r="P493" s="19"/>
      <c r="Q493" s="16"/>
      <c r="R493" s="16"/>
      <c r="S493" s="19"/>
      <c r="T493" s="16"/>
      <c r="U493" s="16"/>
      <c r="V493" s="19"/>
      <c r="W493" s="16"/>
      <c r="X493" s="19"/>
      <c r="Y493" s="19"/>
      <c r="Z493" s="16"/>
    </row>
    <row r="494" ht="15.75" customHeight="1">
      <c r="A494" s="19"/>
      <c r="B494" s="16"/>
      <c r="C494" s="19"/>
      <c r="D494" s="19"/>
      <c r="E494" s="19"/>
      <c r="F494" s="19"/>
      <c r="G494" s="16"/>
      <c r="H494" s="16"/>
      <c r="I494" s="16"/>
      <c r="J494" s="16"/>
      <c r="K494" s="19"/>
      <c r="L494" s="19"/>
      <c r="M494" s="19"/>
      <c r="N494" s="19"/>
      <c r="O494" s="19"/>
      <c r="P494" s="19"/>
      <c r="Q494" s="16"/>
      <c r="R494" s="16"/>
      <c r="S494" s="19"/>
      <c r="T494" s="16"/>
      <c r="U494" s="16"/>
      <c r="V494" s="19"/>
      <c r="W494" s="16"/>
      <c r="X494" s="19"/>
      <c r="Y494" s="19"/>
      <c r="Z494" s="16"/>
    </row>
    <row r="495" ht="15.75" customHeight="1">
      <c r="A495" s="19"/>
      <c r="B495" s="16"/>
      <c r="C495" s="19"/>
      <c r="D495" s="19"/>
      <c r="E495" s="19"/>
      <c r="F495" s="19"/>
      <c r="G495" s="16"/>
      <c r="H495" s="16"/>
      <c r="I495" s="16"/>
      <c r="J495" s="16"/>
      <c r="K495" s="19"/>
      <c r="L495" s="19"/>
      <c r="M495" s="19"/>
      <c r="N495" s="19"/>
      <c r="O495" s="19"/>
      <c r="P495" s="19"/>
      <c r="Q495" s="16"/>
      <c r="R495" s="16"/>
      <c r="S495" s="19"/>
      <c r="T495" s="16"/>
      <c r="U495" s="16"/>
      <c r="V495" s="19"/>
      <c r="W495" s="16"/>
      <c r="X495" s="19"/>
      <c r="Y495" s="19"/>
      <c r="Z495" s="16"/>
    </row>
    <row r="496" ht="15.75" customHeight="1">
      <c r="A496" s="19"/>
      <c r="B496" s="16"/>
      <c r="C496" s="19"/>
      <c r="D496" s="19"/>
      <c r="E496" s="19"/>
      <c r="F496" s="19"/>
      <c r="G496" s="16"/>
      <c r="H496" s="16"/>
      <c r="I496" s="16"/>
      <c r="J496" s="16"/>
      <c r="K496" s="19"/>
      <c r="L496" s="19"/>
      <c r="M496" s="19"/>
      <c r="N496" s="19"/>
      <c r="O496" s="19"/>
      <c r="P496" s="19"/>
      <c r="Q496" s="16"/>
      <c r="R496" s="16"/>
      <c r="S496" s="19"/>
      <c r="T496" s="16"/>
      <c r="U496" s="16"/>
      <c r="V496" s="19"/>
      <c r="W496" s="16"/>
      <c r="X496" s="19"/>
      <c r="Y496" s="19"/>
      <c r="Z496" s="16"/>
    </row>
    <row r="497" ht="15.75" customHeight="1">
      <c r="A497" s="19"/>
      <c r="B497" s="16"/>
      <c r="C497" s="19"/>
      <c r="D497" s="19"/>
      <c r="E497" s="19"/>
      <c r="F497" s="19"/>
      <c r="G497" s="16"/>
      <c r="H497" s="16"/>
      <c r="I497" s="16"/>
      <c r="J497" s="16"/>
      <c r="K497" s="19"/>
      <c r="L497" s="19"/>
      <c r="M497" s="19"/>
      <c r="N497" s="19"/>
      <c r="O497" s="19"/>
      <c r="P497" s="19"/>
      <c r="Q497" s="16"/>
      <c r="R497" s="16"/>
      <c r="S497" s="19"/>
      <c r="T497" s="16"/>
      <c r="U497" s="16"/>
      <c r="V497" s="19"/>
      <c r="W497" s="16"/>
      <c r="X497" s="19"/>
      <c r="Y497" s="19"/>
      <c r="Z497" s="16"/>
    </row>
    <row r="498" ht="15.75" customHeight="1">
      <c r="A498" s="19"/>
      <c r="B498" s="16"/>
      <c r="C498" s="19"/>
      <c r="D498" s="19"/>
      <c r="E498" s="19"/>
      <c r="F498" s="19"/>
      <c r="G498" s="16"/>
      <c r="H498" s="16"/>
      <c r="I498" s="16"/>
      <c r="J498" s="16"/>
      <c r="K498" s="19"/>
      <c r="L498" s="19"/>
      <c r="M498" s="19"/>
      <c r="N498" s="19"/>
      <c r="O498" s="19"/>
      <c r="P498" s="19"/>
      <c r="Q498" s="16"/>
      <c r="R498" s="16"/>
      <c r="S498" s="19"/>
      <c r="T498" s="16"/>
      <c r="U498" s="16"/>
      <c r="V498" s="19"/>
      <c r="W498" s="16"/>
      <c r="X498" s="19"/>
      <c r="Y498" s="19"/>
      <c r="Z498" s="16"/>
    </row>
    <row r="499" ht="15.75" customHeight="1">
      <c r="A499" s="19"/>
      <c r="B499" s="16"/>
      <c r="C499" s="19"/>
      <c r="D499" s="19"/>
      <c r="E499" s="19"/>
      <c r="F499" s="19"/>
      <c r="G499" s="16"/>
      <c r="H499" s="16"/>
      <c r="I499" s="16"/>
      <c r="J499" s="16"/>
      <c r="K499" s="19"/>
      <c r="L499" s="19"/>
      <c r="M499" s="19"/>
      <c r="N499" s="19"/>
      <c r="O499" s="19"/>
      <c r="P499" s="19"/>
      <c r="Q499" s="16"/>
      <c r="R499" s="16"/>
      <c r="S499" s="19"/>
      <c r="T499" s="16"/>
      <c r="U499" s="16"/>
      <c r="V499" s="19"/>
      <c r="W499" s="16"/>
      <c r="X499" s="19"/>
      <c r="Y499" s="19"/>
      <c r="Z499" s="16"/>
    </row>
    <row r="500" ht="15.75" customHeight="1">
      <c r="A500" s="19"/>
      <c r="B500" s="16"/>
      <c r="C500" s="19"/>
      <c r="D500" s="19"/>
      <c r="E500" s="19"/>
      <c r="F500" s="19"/>
      <c r="G500" s="16"/>
      <c r="H500" s="16"/>
      <c r="I500" s="16"/>
      <c r="J500" s="16"/>
      <c r="K500" s="19"/>
      <c r="L500" s="19"/>
      <c r="M500" s="19"/>
      <c r="N500" s="19"/>
      <c r="O500" s="19"/>
      <c r="P500" s="19"/>
      <c r="Q500" s="16"/>
      <c r="R500" s="16"/>
      <c r="S500" s="19"/>
      <c r="T500" s="16"/>
      <c r="U500" s="16"/>
      <c r="V500" s="19"/>
      <c r="W500" s="16"/>
      <c r="X500" s="19"/>
      <c r="Y500" s="19"/>
      <c r="Z500" s="16"/>
    </row>
    <row r="501" ht="15.75" customHeight="1">
      <c r="A501" s="19"/>
      <c r="B501" s="16"/>
      <c r="C501" s="19"/>
      <c r="D501" s="19"/>
      <c r="E501" s="19"/>
      <c r="F501" s="19"/>
      <c r="G501" s="16"/>
      <c r="H501" s="16"/>
      <c r="I501" s="16"/>
      <c r="J501" s="16"/>
      <c r="K501" s="19"/>
      <c r="L501" s="19"/>
      <c r="M501" s="19"/>
      <c r="N501" s="19"/>
      <c r="O501" s="19"/>
      <c r="P501" s="19"/>
      <c r="Q501" s="16"/>
      <c r="R501" s="16"/>
      <c r="S501" s="19"/>
      <c r="T501" s="16"/>
      <c r="U501" s="16"/>
      <c r="V501" s="19"/>
      <c r="W501" s="16"/>
      <c r="X501" s="19"/>
      <c r="Y501" s="19"/>
      <c r="Z501" s="16"/>
    </row>
    <row r="502" ht="15.75" customHeight="1">
      <c r="A502" s="19"/>
      <c r="B502" s="16"/>
      <c r="C502" s="19"/>
      <c r="D502" s="19"/>
      <c r="E502" s="19"/>
      <c r="F502" s="19"/>
      <c r="G502" s="16"/>
      <c r="H502" s="16"/>
      <c r="I502" s="16"/>
      <c r="J502" s="16"/>
      <c r="K502" s="19"/>
      <c r="L502" s="19"/>
      <c r="M502" s="19"/>
      <c r="N502" s="19"/>
      <c r="O502" s="19"/>
      <c r="P502" s="19"/>
      <c r="Q502" s="16"/>
      <c r="R502" s="16"/>
      <c r="S502" s="19"/>
      <c r="T502" s="16"/>
      <c r="U502" s="16"/>
      <c r="V502" s="19"/>
      <c r="W502" s="16"/>
      <c r="X502" s="19"/>
      <c r="Y502" s="19"/>
      <c r="Z502" s="16"/>
    </row>
    <row r="503" ht="15.75" customHeight="1">
      <c r="A503" s="19"/>
      <c r="B503" s="16"/>
      <c r="C503" s="19"/>
      <c r="D503" s="19"/>
      <c r="E503" s="19"/>
      <c r="F503" s="19"/>
      <c r="G503" s="16"/>
      <c r="H503" s="16"/>
      <c r="I503" s="16"/>
      <c r="J503" s="16"/>
      <c r="K503" s="19"/>
      <c r="L503" s="19"/>
      <c r="M503" s="19"/>
      <c r="N503" s="19"/>
      <c r="O503" s="19"/>
      <c r="P503" s="19"/>
      <c r="Q503" s="16"/>
      <c r="R503" s="16"/>
      <c r="S503" s="19"/>
      <c r="T503" s="16"/>
      <c r="U503" s="16"/>
      <c r="V503" s="19"/>
      <c r="W503" s="16"/>
      <c r="X503" s="19"/>
      <c r="Y503" s="19"/>
      <c r="Z503" s="16"/>
    </row>
    <row r="504" ht="15.75" customHeight="1">
      <c r="A504" s="19"/>
      <c r="B504" s="16"/>
      <c r="C504" s="19"/>
      <c r="D504" s="19"/>
      <c r="E504" s="19"/>
      <c r="F504" s="19"/>
      <c r="G504" s="16"/>
      <c r="H504" s="16"/>
      <c r="I504" s="16"/>
      <c r="J504" s="16"/>
      <c r="K504" s="19"/>
      <c r="L504" s="19"/>
      <c r="M504" s="19"/>
      <c r="N504" s="19"/>
      <c r="O504" s="19"/>
      <c r="P504" s="19"/>
      <c r="Q504" s="16"/>
      <c r="R504" s="16"/>
      <c r="S504" s="19"/>
      <c r="T504" s="16"/>
      <c r="U504" s="16"/>
      <c r="V504" s="19"/>
      <c r="W504" s="16"/>
      <c r="X504" s="19"/>
      <c r="Y504" s="19"/>
      <c r="Z504" s="16"/>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row r="1001" ht="15.75" customHeight="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row>
  </sheetData>
  <dataValidations>
    <dataValidation type="list" allowBlank="1" sqref="B2:B1001">
      <formula1>"Consultancy,Trade_Association,Government,Academic,Retailer,Vendor,News"</formula1>
    </dataValidation>
    <dataValidation type="list" allowBlank="1" sqref="G2:G1001">
      <formula1>"UK,Europe,US,Global,Multiple"</formula1>
    </dataValidation>
    <dataValidation type="list" allowBlank="1" sqref="J2:J1001">
      <formula1>"Primary_Evidence,Supporting_Evidence,Comparative,Conceptual_Only"</formula1>
    </dataValidation>
    <dataValidation type="list" allowBlank="1" sqref="T2:T1001">
      <formula1>"TOE_Tech,TOE_Org,TOE_Env,SCOR_Plan,SCOR_Source,SCOR_Make,SCOR_Deliver,SCOR_Return,5Vs_Volume,5Vs_Velocity,5Vs_Variety,5Vs_Veracity,5Vs_Value,Multiple,None"</formula1>
    </dataValidation>
    <dataValidation type="list" allowBlank="1" sqref="I2:I1001">
      <formula1>"Yes,No,Partial,Unknown"</formula1>
    </dataValidation>
    <dataValidation type="list" allowBlank="1" sqref="Z2:Z1001">
      <formula1>"Include,Exclude,Merge,Refine,Flagged"</formula1>
    </dataValidation>
    <dataValidation type="list" allowBlank="1" sqref="Q2:Q1001">
      <formula1>"First_Order,Second_Order,Mixed"</formula1>
    </dataValidation>
    <dataValidation type="list" allowBlank="1" sqref="U2:U1001">
      <formula1>"Verified,Pending,Cross_Check_Required,Rejected,Contradicted"</formula1>
    </dataValidation>
    <dataValidation type="list" allowBlank="1" sqref="W2:W1001">
      <formula1>"High,Medium,Low"</formula1>
    </dataValidation>
    <dataValidation type="list" allowBlank="1" sqref="H2:H1001">
      <formula1>"T1_UK_Specific,T2_UK_Applicable,T3_Transferable,T4_Conceptual"</formula1>
    </dataValidation>
    <dataValidation type="list" allowBlank="1" sqref="R2:R1001">
      <formula1>"TH_01,TH_02,TH_03,TH_04,TH_05,TH_06"</formula1>
    </dataValidation>
  </dataValidations>
  <hyperlinks>
    <hyperlink r:id="rId1" ref="E280"/>
  </hyperlinks>
  <printOptions/>
  <pageMargins bottom="1.0" footer="0.0" header="0.0" left="0.75" right="0.75" top="1.0"/>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8.0"/>
    <col customWidth="1" min="3" max="3" width="55.0"/>
    <col customWidth="1" min="4" max="4" width="85.0"/>
    <col customWidth="1" min="5" max="5" width="15.0"/>
    <col customWidth="1" min="6" max="6" width="14.0"/>
  </cols>
  <sheetData>
    <row r="1" ht="17.25" customHeight="1">
      <c r="A1" s="20" t="s">
        <v>2599</v>
      </c>
      <c r="B1" s="21"/>
      <c r="C1" s="21"/>
      <c r="D1" s="21"/>
      <c r="E1" s="21"/>
      <c r="F1" s="22"/>
    </row>
    <row r="2">
      <c r="A2" s="19"/>
      <c r="B2" s="19"/>
      <c r="C2" s="19"/>
      <c r="D2" s="19"/>
      <c r="E2" s="19"/>
      <c r="F2" s="19"/>
    </row>
    <row r="3" ht="15.0" customHeight="1">
      <c r="A3" s="23" t="s">
        <v>2600</v>
      </c>
      <c r="B3" s="23" t="s">
        <v>2601</v>
      </c>
      <c r="C3" s="23" t="s">
        <v>2602</v>
      </c>
      <c r="D3" s="23" t="s">
        <v>2603</v>
      </c>
      <c r="E3" s="23" t="s">
        <v>2604</v>
      </c>
      <c r="F3" s="23" t="s">
        <v>2605</v>
      </c>
    </row>
    <row r="4" ht="27.75" customHeight="1">
      <c r="A4" s="14" t="s">
        <v>42</v>
      </c>
      <c r="B4" s="14" t="s">
        <v>2606</v>
      </c>
      <c r="C4" s="14" t="s">
        <v>2607</v>
      </c>
      <c r="D4" s="24" t="s">
        <v>2608</v>
      </c>
      <c r="E4" s="14" t="s">
        <v>2609</v>
      </c>
      <c r="F4" s="14">
        <f>COUNTIF(Extraction_Log!R:R,A4)</f>
        <v>88</v>
      </c>
    </row>
    <row r="5" ht="27.75" customHeight="1">
      <c r="A5" s="14" t="s">
        <v>56</v>
      </c>
      <c r="B5" s="14" t="s">
        <v>2610</v>
      </c>
      <c r="C5" s="14" t="s">
        <v>2611</v>
      </c>
      <c r="D5" s="25" t="s">
        <v>2612</v>
      </c>
      <c r="E5" s="14" t="s">
        <v>2613</v>
      </c>
      <c r="F5" s="14">
        <f>COUNTIF(Extraction_Log!R:R,A5)</f>
        <v>56</v>
      </c>
    </row>
    <row r="6" ht="27.75" customHeight="1">
      <c r="A6" s="14" t="s">
        <v>404</v>
      </c>
      <c r="B6" s="14" t="s">
        <v>2584</v>
      </c>
      <c r="C6" s="14" t="s">
        <v>2614</v>
      </c>
      <c r="D6" s="25" t="s">
        <v>2615</v>
      </c>
      <c r="E6" s="14" t="s">
        <v>2616</v>
      </c>
      <c r="F6" s="14">
        <f>COUNTIF(Extraction_Log!R:R,A6)</f>
        <v>49</v>
      </c>
    </row>
    <row r="7" ht="27.75" customHeight="1">
      <c r="A7" s="14" t="s">
        <v>78</v>
      </c>
      <c r="B7" s="14" t="s">
        <v>2617</v>
      </c>
      <c r="C7" s="14" t="s">
        <v>2618</v>
      </c>
      <c r="D7" s="25" t="s">
        <v>2619</v>
      </c>
      <c r="E7" s="14" t="s">
        <v>2616</v>
      </c>
      <c r="F7" s="14">
        <f>COUNTIF(Extraction_Log!R:R,A7)</f>
        <v>51</v>
      </c>
    </row>
    <row r="8" ht="27.75" customHeight="1">
      <c r="A8" s="14" t="s">
        <v>273</v>
      </c>
      <c r="B8" s="14" t="s">
        <v>2620</v>
      </c>
      <c r="C8" s="14" t="s">
        <v>2621</v>
      </c>
      <c r="D8" s="25" t="s">
        <v>2622</v>
      </c>
      <c r="E8" s="14" t="s">
        <v>2623</v>
      </c>
      <c r="F8" s="14">
        <f>COUNTIF(Extraction_Log!R:R,A8)</f>
        <v>28</v>
      </c>
    </row>
    <row r="9" ht="27.75" customHeight="1">
      <c r="A9" s="14" t="s">
        <v>1027</v>
      </c>
      <c r="B9" s="14" t="s">
        <v>2624</v>
      </c>
      <c r="C9" s="14" t="s">
        <v>2625</v>
      </c>
      <c r="D9" s="25" t="s">
        <v>2626</v>
      </c>
      <c r="E9" s="14" t="s">
        <v>2627</v>
      </c>
      <c r="F9" s="14">
        <f>COUNTIF(Extraction_Log!R:R,A9)</f>
        <v>31</v>
      </c>
    </row>
    <row r="10">
      <c r="A10" s="19"/>
      <c r="B10" s="19"/>
      <c r="C10" s="19"/>
      <c r="D10" s="19"/>
      <c r="E10" s="19"/>
      <c r="F10" s="19"/>
    </row>
    <row r="11">
      <c r="A11" s="19"/>
      <c r="B11" s="19"/>
      <c r="C11" s="19"/>
      <c r="D11" s="19"/>
      <c r="E11" s="19"/>
      <c r="F11" s="19"/>
    </row>
    <row r="12">
      <c r="A12" s="19"/>
      <c r="B12" s="19"/>
      <c r="C12" s="19"/>
      <c r="D12" s="19"/>
      <c r="E12" s="19"/>
      <c r="F12" s="19"/>
    </row>
    <row r="13">
      <c r="A13" s="19"/>
      <c r="B13" s="19"/>
      <c r="C13" s="19"/>
      <c r="D13" s="19"/>
      <c r="E13" s="19"/>
      <c r="F13" s="19"/>
    </row>
    <row r="14">
      <c r="A14" s="19"/>
      <c r="B14" s="19"/>
      <c r="C14" s="19"/>
      <c r="D14" s="19"/>
      <c r="E14" s="19"/>
      <c r="F14" s="19"/>
    </row>
    <row r="15">
      <c r="A15" s="19"/>
      <c r="B15" s="19"/>
      <c r="C15" s="19"/>
      <c r="D15" s="19"/>
      <c r="E15" s="19"/>
      <c r="F15" s="19"/>
    </row>
    <row r="16">
      <c r="A16" s="19"/>
      <c r="B16" s="19"/>
      <c r="C16" s="19"/>
      <c r="D16" s="19"/>
      <c r="E16" s="19"/>
      <c r="F16" s="19"/>
    </row>
    <row r="17">
      <c r="A17" s="19"/>
      <c r="B17" s="19"/>
      <c r="C17" s="19"/>
      <c r="D17" s="19"/>
      <c r="E17" s="19"/>
      <c r="F17" s="19"/>
    </row>
    <row r="18">
      <c r="A18" s="19"/>
      <c r="B18" s="19"/>
      <c r="C18" s="19"/>
      <c r="D18" s="19"/>
      <c r="E18" s="19"/>
      <c r="F18" s="19"/>
    </row>
    <row r="19">
      <c r="A19" s="19"/>
      <c r="B19" s="19"/>
      <c r="C19" s="19"/>
      <c r="D19" s="19"/>
      <c r="E19" s="19"/>
      <c r="F19" s="19"/>
    </row>
    <row r="20">
      <c r="A20" s="19"/>
      <c r="B20" s="19"/>
      <c r="C20" s="19"/>
      <c r="D20" s="19"/>
      <c r="E20" s="19"/>
      <c r="F20" s="19"/>
    </row>
    <row r="21" ht="15.75" customHeight="1">
      <c r="A21" s="19"/>
      <c r="B21" s="19"/>
      <c r="C21" s="19"/>
      <c r="D21" s="19"/>
      <c r="E21" s="19"/>
      <c r="F21" s="19"/>
    </row>
    <row r="22" ht="15.75" customHeight="1">
      <c r="A22" s="19"/>
      <c r="B22" s="19"/>
      <c r="C22" s="19"/>
      <c r="D22" s="19"/>
      <c r="E22" s="19"/>
      <c r="F22" s="19"/>
    </row>
    <row r="23" ht="15.75" customHeight="1">
      <c r="A23" s="19"/>
      <c r="B23" s="19"/>
      <c r="C23" s="19"/>
      <c r="D23" s="19"/>
      <c r="E23" s="19"/>
      <c r="F23" s="19"/>
    </row>
    <row r="24" ht="15.75" customHeight="1">
      <c r="A24" s="19"/>
      <c r="B24" s="19"/>
      <c r="C24" s="19"/>
      <c r="D24" s="19"/>
      <c r="E24" s="19"/>
      <c r="F24" s="19"/>
    </row>
    <row r="25" ht="15.75" customHeight="1">
      <c r="A25" s="19"/>
      <c r="B25" s="19"/>
      <c r="C25" s="19"/>
      <c r="D25" s="19"/>
      <c r="E25" s="19"/>
      <c r="F25" s="19"/>
    </row>
    <row r="26" ht="15.75" customHeight="1">
      <c r="A26" s="19"/>
      <c r="B26" s="19"/>
      <c r="C26" s="19"/>
      <c r="D26" s="19"/>
      <c r="E26" s="19"/>
      <c r="F26" s="19"/>
    </row>
    <row r="27" ht="15.75" customHeight="1">
      <c r="A27" s="19"/>
      <c r="B27" s="19"/>
      <c r="C27" s="19"/>
      <c r="D27" s="19"/>
      <c r="E27" s="19"/>
      <c r="F27" s="19"/>
    </row>
    <row r="28" ht="15.75" customHeight="1">
      <c r="A28" s="19"/>
      <c r="B28" s="19"/>
      <c r="C28" s="19"/>
      <c r="D28" s="19"/>
      <c r="E28" s="19"/>
      <c r="F28" s="19"/>
    </row>
    <row r="29" ht="15.75" customHeight="1">
      <c r="A29" s="19"/>
      <c r="B29" s="19"/>
      <c r="C29" s="19"/>
      <c r="D29" s="19"/>
      <c r="E29" s="19"/>
      <c r="F29" s="19"/>
    </row>
    <row r="30" ht="15.75" customHeight="1">
      <c r="A30" s="19"/>
      <c r="B30" s="19"/>
      <c r="C30" s="19"/>
      <c r="D30" s="19"/>
      <c r="E30" s="19"/>
      <c r="F30" s="19"/>
    </row>
    <row r="31" ht="15.75" customHeight="1">
      <c r="A31" s="19"/>
      <c r="B31" s="19"/>
      <c r="C31" s="19"/>
      <c r="D31" s="19"/>
      <c r="E31" s="19"/>
      <c r="F31" s="19"/>
    </row>
    <row r="32" ht="15.75" customHeight="1">
      <c r="A32" s="19"/>
      <c r="B32" s="19"/>
      <c r="C32" s="19"/>
      <c r="D32" s="19"/>
      <c r="E32" s="19"/>
      <c r="F32" s="19"/>
    </row>
    <row r="33" ht="15.75" customHeight="1">
      <c r="A33" s="19"/>
      <c r="B33" s="19"/>
      <c r="C33" s="19"/>
      <c r="D33" s="19"/>
      <c r="E33" s="19"/>
      <c r="F33" s="19"/>
    </row>
    <row r="34" ht="15.75" customHeight="1">
      <c r="A34" s="19"/>
      <c r="B34" s="19"/>
      <c r="C34" s="19"/>
      <c r="D34" s="19"/>
      <c r="E34" s="19"/>
      <c r="F34" s="19"/>
    </row>
    <row r="35" ht="15.75" customHeight="1">
      <c r="A35" s="19"/>
      <c r="B35" s="19"/>
      <c r="C35" s="19"/>
      <c r="D35" s="19"/>
      <c r="E35" s="19"/>
      <c r="F35" s="19"/>
    </row>
    <row r="36" ht="15.75" customHeight="1">
      <c r="A36" s="19"/>
      <c r="B36" s="19"/>
      <c r="C36" s="19"/>
      <c r="D36" s="19"/>
      <c r="E36" s="19"/>
      <c r="F36" s="19"/>
    </row>
    <row r="37" ht="15.75" customHeight="1">
      <c r="A37" s="19"/>
      <c r="B37" s="19"/>
      <c r="C37" s="19"/>
      <c r="D37" s="19"/>
      <c r="E37" s="19"/>
      <c r="F37" s="19"/>
    </row>
    <row r="38" ht="15.75" customHeight="1">
      <c r="A38" s="19"/>
      <c r="B38" s="19"/>
      <c r="C38" s="19"/>
      <c r="D38" s="19"/>
      <c r="E38" s="19"/>
      <c r="F38" s="19"/>
    </row>
    <row r="39" ht="15.75" customHeight="1">
      <c r="A39" s="19"/>
      <c r="B39" s="19"/>
      <c r="C39" s="19"/>
      <c r="D39" s="19"/>
      <c r="E39" s="19"/>
      <c r="F39" s="19"/>
    </row>
    <row r="40" ht="15.75" customHeight="1">
      <c r="A40" s="19"/>
      <c r="B40" s="19"/>
      <c r="C40" s="19"/>
      <c r="D40" s="19"/>
      <c r="E40" s="19"/>
      <c r="F40" s="19"/>
    </row>
    <row r="41" ht="15.75" customHeight="1">
      <c r="A41" s="19"/>
      <c r="B41" s="19"/>
      <c r="C41" s="19"/>
      <c r="D41" s="19"/>
      <c r="E41" s="19"/>
      <c r="F41" s="19"/>
    </row>
    <row r="42" ht="15.75" customHeight="1">
      <c r="A42" s="19"/>
      <c r="B42" s="19"/>
      <c r="C42" s="19"/>
      <c r="D42" s="19"/>
      <c r="E42" s="19"/>
      <c r="F42" s="19"/>
    </row>
    <row r="43" ht="15.75" customHeight="1">
      <c r="A43" s="19"/>
      <c r="B43" s="19"/>
      <c r="C43" s="19"/>
      <c r="D43" s="19"/>
      <c r="E43" s="19"/>
      <c r="F43" s="19"/>
    </row>
    <row r="44" ht="15.75" customHeight="1">
      <c r="A44" s="19"/>
      <c r="B44" s="19"/>
      <c r="C44" s="19"/>
      <c r="D44" s="19"/>
      <c r="E44" s="19"/>
      <c r="F44" s="19"/>
    </row>
    <row r="45" ht="15.75" customHeight="1">
      <c r="A45" s="19"/>
      <c r="B45" s="19"/>
      <c r="C45" s="19"/>
      <c r="D45" s="19"/>
      <c r="E45" s="19"/>
      <c r="F45" s="19"/>
    </row>
    <row r="46" ht="15.75" customHeight="1">
      <c r="A46" s="19"/>
      <c r="B46" s="19"/>
      <c r="C46" s="19"/>
      <c r="D46" s="19"/>
      <c r="E46" s="19"/>
      <c r="F46" s="19"/>
    </row>
    <row r="47" ht="15.75" customHeight="1">
      <c r="A47" s="19"/>
      <c r="B47" s="19"/>
      <c r="C47" s="19"/>
      <c r="D47" s="19"/>
      <c r="E47" s="19"/>
      <c r="F47" s="19"/>
    </row>
    <row r="48" ht="15.75" customHeight="1">
      <c r="A48" s="19"/>
      <c r="B48" s="19"/>
      <c r="C48" s="19"/>
      <c r="D48" s="19"/>
      <c r="E48" s="19"/>
      <c r="F48" s="19"/>
    </row>
    <row r="49" ht="15.75" customHeight="1">
      <c r="A49" s="19"/>
      <c r="B49" s="19"/>
      <c r="C49" s="19"/>
      <c r="D49" s="19"/>
      <c r="E49" s="19"/>
      <c r="F49" s="19"/>
    </row>
    <row r="50" ht="15.75" customHeight="1">
      <c r="A50" s="19"/>
      <c r="B50" s="19"/>
      <c r="C50" s="19"/>
      <c r="D50" s="19"/>
      <c r="E50" s="19"/>
      <c r="F50" s="19"/>
    </row>
    <row r="51" ht="15.75" customHeight="1">
      <c r="A51" s="19"/>
      <c r="B51" s="19"/>
      <c r="C51" s="19"/>
      <c r="D51" s="19"/>
      <c r="E51" s="19"/>
      <c r="F51" s="19"/>
    </row>
    <row r="52" ht="15.75" customHeight="1">
      <c r="A52" s="19"/>
      <c r="B52" s="19"/>
      <c r="C52" s="19"/>
      <c r="D52" s="19"/>
      <c r="E52" s="19"/>
      <c r="F52" s="19"/>
    </row>
    <row r="53" ht="15.75" customHeight="1">
      <c r="A53" s="19"/>
      <c r="B53" s="19"/>
      <c r="C53" s="19"/>
      <c r="D53" s="19"/>
      <c r="E53" s="19"/>
      <c r="F53" s="19"/>
    </row>
    <row r="54" ht="15.75" customHeight="1">
      <c r="A54" s="19"/>
      <c r="B54" s="19"/>
      <c r="C54" s="19"/>
      <c r="D54" s="19"/>
      <c r="E54" s="19"/>
      <c r="F54" s="19"/>
    </row>
    <row r="55" ht="15.75" customHeight="1">
      <c r="A55" s="19"/>
      <c r="B55" s="19"/>
      <c r="C55" s="19"/>
      <c r="D55" s="19"/>
      <c r="E55" s="19"/>
      <c r="F55" s="19"/>
    </row>
    <row r="56" ht="15.75" customHeight="1">
      <c r="A56" s="19"/>
      <c r="B56" s="19"/>
      <c r="C56" s="19"/>
      <c r="D56" s="19"/>
      <c r="E56" s="19"/>
      <c r="F56" s="19"/>
    </row>
    <row r="57" ht="15.75" customHeight="1">
      <c r="A57" s="19"/>
      <c r="B57" s="19"/>
      <c r="C57" s="19"/>
      <c r="D57" s="19"/>
      <c r="E57" s="19"/>
      <c r="F57" s="19"/>
    </row>
    <row r="58" ht="15.75" customHeight="1">
      <c r="A58" s="19"/>
      <c r="B58" s="19"/>
      <c r="C58" s="19"/>
      <c r="D58" s="19"/>
      <c r="E58" s="19"/>
      <c r="F58" s="19"/>
    </row>
    <row r="59" ht="15.75" customHeight="1">
      <c r="A59" s="19"/>
      <c r="B59" s="19"/>
      <c r="C59" s="19"/>
      <c r="D59" s="19"/>
      <c r="E59" s="19"/>
      <c r="F59" s="19"/>
    </row>
    <row r="60" ht="15.75" customHeight="1">
      <c r="A60" s="19"/>
      <c r="B60" s="19"/>
      <c r="C60" s="19"/>
      <c r="D60" s="19"/>
      <c r="E60" s="19"/>
      <c r="F60" s="19"/>
    </row>
    <row r="61" ht="15.75" customHeight="1">
      <c r="A61" s="19"/>
      <c r="B61" s="19"/>
      <c r="C61" s="19"/>
      <c r="D61" s="19"/>
      <c r="E61" s="19"/>
      <c r="F61" s="19"/>
    </row>
    <row r="62" ht="15.75" customHeight="1">
      <c r="A62" s="19"/>
      <c r="B62" s="19"/>
      <c r="C62" s="19"/>
      <c r="D62" s="19"/>
      <c r="E62" s="19"/>
      <c r="F62" s="19"/>
    </row>
    <row r="63" ht="15.75" customHeight="1">
      <c r="A63" s="19"/>
      <c r="B63" s="19"/>
      <c r="C63" s="19"/>
      <c r="D63" s="19"/>
      <c r="E63" s="19"/>
      <c r="F63" s="19"/>
    </row>
    <row r="64" ht="15.75" customHeight="1">
      <c r="A64" s="19"/>
      <c r="B64" s="19"/>
      <c r="C64" s="19"/>
      <c r="D64" s="19"/>
      <c r="E64" s="19"/>
      <c r="F64" s="19"/>
    </row>
    <row r="65" ht="15.75" customHeight="1">
      <c r="A65" s="19"/>
      <c r="B65" s="19"/>
      <c r="C65" s="19"/>
      <c r="D65" s="19"/>
      <c r="E65" s="19"/>
      <c r="F65" s="19"/>
    </row>
    <row r="66" ht="15.75" customHeight="1">
      <c r="A66" s="19"/>
      <c r="B66" s="19"/>
      <c r="C66" s="19"/>
      <c r="D66" s="19"/>
      <c r="E66" s="19"/>
      <c r="F66" s="19"/>
    </row>
    <row r="67" ht="15.75" customHeight="1">
      <c r="A67" s="19"/>
      <c r="B67" s="19"/>
      <c r="C67" s="19"/>
      <c r="D67" s="19"/>
      <c r="E67" s="19"/>
      <c r="F67" s="19"/>
    </row>
    <row r="68" ht="15.75" customHeight="1">
      <c r="A68" s="19"/>
      <c r="B68" s="19"/>
      <c r="C68" s="19"/>
      <c r="D68" s="19"/>
      <c r="E68" s="19"/>
      <c r="F68" s="19"/>
    </row>
    <row r="69" ht="15.75" customHeight="1">
      <c r="A69" s="19"/>
      <c r="B69" s="19"/>
      <c r="C69" s="19"/>
      <c r="D69" s="19"/>
      <c r="E69" s="19"/>
      <c r="F69" s="19"/>
    </row>
    <row r="70" ht="15.75" customHeight="1">
      <c r="A70" s="19"/>
      <c r="B70" s="19"/>
      <c r="C70" s="19"/>
      <c r="D70" s="19"/>
      <c r="E70" s="19"/>
      <c r="F70" s="19"/>
    </row>
    <row r="71" ht="15.75" customHeight="1">
      <c r="A71" s="19"/>
      <c r="B71" s="19"/>
      <c r="C71" s="19"/>
      <c r="D71" s="19"/>
      <c r="E71" s="19"/>
      <c r="F71" s="19"/>
    </row>
    <row r="72" ht="15.75" customHeight="1">
      <c r="A72" s="19"/>
      <c r="B72" s="19"/>
      <c r="C72" s="19"/>
      <c r="D72" s="19"/>
      <c r="E72" s="19"/>
      <c r="F72" s="19"/>
    </row>
    <row r="73" ht="15.75" customHeight="1">
      <c r="A73" s="19"/>
      <c r="B73" s="19"/>
      <c r="C73" s="19"/>
      <c r="D73" s="19"/>
      <c r="E73" s="19"/>
      <c r="F73" s="19"/>
    </row>
    <row r="74" ht="15.75" customHeight="1">
      <c r="A74" s="19"/>
      <c r="B74" s="19"/>
      <c r="C74" s="19"/>
      <c r="D74" s="19"/>
      <c r="E74" s="19"/>
      <c r="F74" s="19"/>
    </row>
    <row r="75" ht="15.75" customHeight="1">
      <c r="A75" s="19"/>
      <c r="B75" s="19"/>
      <c r="C75" s="19"/>
      <c r="D75" s="19"/>
      <c r="E75" s="19"/>
      <c r="F75" s="19"/>
    </row>
    <row r="76" ht="15.75" customHeight="1">
      <c r="A76" s="19"/>
      <c r="B76" s="19"/>
      <c r="C76" s="19"/>
      <c r="D76" s="19"/>
      <c r="E76" s="19"/>
      <c r="F76" s="19"/>
    </row>
    <row r="77" ht="15.75" customHeight="1">
      <c r="A77" s="19"/>
      <c r="B77" s="19"/>
      <c r="C77" s="19"/>
      <c r="D77" s="19"/>
      <c r="E77" s="19"/>
      <c r="F77" s="19"/>
    </row>
    <row r="78" ht="15.75" customHeight="1">
      <c r="A78" s="19"/>
      <c r="B78" s="19"/>
      <c r="C78" s="19"/>
      <c r="D78" s="19"/>
      <c r="E78" s="19"/>
      <c r="F78" s="19"/>
    </row>
    <row r="79" ht="15.75" customHeight="1">
      <c r="A79" s="19"/>
      <c r="B79" s="19"/>
      <c r="C79" s="19"/>
      <c r="D79" s="19"/>
      <c r="E79" s="19"/>
      <c r="F79" s="19"/>
    </row>
    <row r="80" ht="15.75" customHeight="1">
      <c r="A80" s="19"/>
      <c r="B80" s="19"/>
      <c r="C80" s="19"/>
      <c r="D80" s="19"/>
      <c r="E80" s="19"/>
      <c r="F80" s="19"/>
    </row>
    <row r="81" ht="15.75" customHeight="1">
      <c r="A81" s="19"/>
      <c r="B81" s="19"/>
      <c r="C81" s="19"/>
      <c r="D81" s="19"/>
      <c r="E81" s="19"/>
      <c r="F81" s="19"/>
    </row>
    <row r="82" ht="15.75" customHeight="1">
      <c r="A82" s="19"/>
      <c r="B82" s="19"/>
      <c r="C82" s="19"/>
      <c r="D82" s="19"/>
      <c r="E82" s="19"/>
      <c r="F82" s="19"/>
    </row>
    <row r="83" ht="15.75" customHeight="1">
      <c r="A83" s="19"/>
      <c r="B83" s="19"/>
      <c r="C83" s="19"/>
      <c r="D83" s="19"/>
      <c r="E83" s="19"/>
      <c r="F83" s="19"/>
    </row>
    <row r="84" ht="15.75" customHeight="1">
      <c r="A84" s="19"/>
      <c r="B84" s="19"/>
      <c r="C84" s="19"/>
      <c r="D84" s="19"/>
      <c r="E84" s="19"/>
      <c r="F84" s="19"/>
    </row>
    <row r="85" ht="15.75" customHeight="1">
      <c r="A85" s="19"/>
      <c r="B85" s="19"/>
      <c r="C85" s="19"/>
      <c r="D85" s="19"/>
      <c r="E85" s="19"/>
      <c r="F85" s="19"/>
    </row>
    <row r="86" ht="15.75" customHeight="1">
      <c r="A86" s="19"/>
      <c r="B86" s="19"/>
      <c r="C86" s="19"/>
      <c r="D86" s="19"/>
      <c r="E86" s="19"/>
      <c r="F86" s="19"/>
    </row>
    <row r="87" ht="15.75" customHeight="1">
      <c r="A87" s="19"/>
      <c r="B87" s="19"/>
      <c r="C87" s="19"/>
      <c r="D87" s="19"/>
      <c r="E87" s="19"/>
      <c r="F87" s="19"/>
    </row>
    <row r="88" ht="15.75" customHeight="1">
      <c r="A88" s="19"/>
      <c r="B88" s="19"/>
      <c r="C88" s="19"/>
      <c r="D88" s="19"/>
      <c r="E88" s="19"/>
      <c r="F88" s="19"/>
    </row>
    <row r="89" ht="15.75" customHeight="1">
      <c r="A89" s="19"/>
      <c r="B89" s="19"/>
      <c r="C89" s="19"/>
      <c r="D89" s="19"/>
      <c r="E89" s="19"/>
      <c r="F89" s="19"/>
    </row>
    <row r="90" ht="15.75" customHeight="1">
      <c r="A90" s="19"/>
      <c r="B90" s="19"/>
      <c r="C90" s="19"/>
      <c r="D90" s="19"/>
      <c r="E90" s="19"/>
      <c r="F90" s="19"/>
    </row>
    <row r="91" ht="15.75" customHeight="1">
      <c r="A91" s="19"/>
      <c r="B91" s="19"/>
      <c r="C91" s="19"/>
      <c r="D91" s="19"/>
      <c r="E91" s="19"/>
      <c r="F91" s="19"/>
    </row>
    <row r="92" ht="15.75" customHeight="1">
      <c r="A92" s="19"/>
      <c r="B92" s="19"/>
      <c r="C92" s="19"/>
      <c r="D92" s="19"/>
      <c r="E92" s="19"/>
      <c r="F92" s="19"/>
    </row>
    <row r="93" ht="15.75" customHeight="1">
      <c r="A93" s="19"/>
      <c r="B93" s="19"/>
      <c r="C93" s="19"/>
      <c r="D93" s="19"/>
      <c r="E93" s="19"/>
      <c r="F93" s="19"/>
    </row>
    <row r="94" ht="15.75" customHeight="1">
      <c r="A94" s="19"/>
      <c r="B94" s="19"/>
      <c r="C94" s="19"/>
      <c r="D94" s="19"/>
      <c r="E94" s="19"/>
      <c r="F94" s="19"/>
    </row>
    <row r="95" ht="15.75" customHeight="1">
      <c r="A95" s="19"/>
      <c r="B95" s="19"/>
      <c r="C95" s="19"/>
      <c r="D95" s="19"/>
      <c r="E95" s="19"/>
      <c r="F95" s="19"/>
    </row>
    <row r="96" ht="15.75" customHeight="1">
      <c r="A96" s="19"/>
      <c r="B96" s="19"/>
      <c r="C96" s="19"/>
      <c r="D96" s="19"/>
      <c r="E96" s="19"/>
      <c r="F96" s="19"/>
    </row>
    <row r="97" ht="15.75" customHeight="1">
      <c r="A97" s="19"/>
      <c r="B97" s="19"/>
      <c r="C97" s="19"/>
      <c r="D97" s="19"/>
      <c r="E97" s="19"/>
      <c r="F97" s="19"/>
    </row>
    <row r="98" ht="15.75" customHeight="1">
      <c r="A98" s="19"/>
      <c r="B98" s="19"/>
      <c r="C98" s="19"/>
      <c r="D98" s="19"/>
      <c r="E98" s="19"/>
      <c r="F98" s="19"/>
    </row>
    <row r="99" ht="15.75" customHeight="1">
      <c r="A99" s="19"/>
      <c r="B99" s="19"/>
      <c r="C99" s="19"/>
      <c r="D99" s="19"/>
      <c r="E99" s="19"/>
      <c r="F99" s="19"/>
    </row>
    <row r="100" ht="15.75" customHeight="1">
      <c r="A100" s="19"/>
      <c r="B100" s="19"/>
      <c r="C100" s="19"/>
      <c r="D100" s="19"/>
      <c r="E100" s="19"/>
      <c r="F100" s="19"/>
    </row>
    <row r="101" ht="15.75" customHeight="1">
      <c r="A101" s="19"/>
      <c r="B101" s="19"/>
      <c r="C101" s="19"/>
      <c r="D101" s="19"/>
      <c r="E101" s="19"/>
      <c r="F101" s="19"/>
    </row>
    <row r="102" ht="15.75" customHeight="1">
      <c r="A102" s="19"/>
      <c r="B102" s="19"/>
      <c r="C102" s="19"/>
      <c r="D102" s="19"/>
      <c r="E102" s="19"/>
      <c r="F102" s="19"/>
    </row>
    <row r="103" ht="15.75" customHeight="1">
      <c r="A103" s="19"/>
      <c r="B103" s="19"/>
      <c r="C103" s="19"/>
      <c r="D103" s="19"/>
      <c r="E103" s="19"/>
      <c r="F103" s="19"/>
    </row>
    <row r="104" ht="15.75" customHeight="1">
      <c r="A104" s="19"/>
      <c r="B104" s="19"/>
      <c r="C104" s="19"/>
      <c r="D104" s="19"/>
      <c r="E104" s="19"/>
      <c r="F104" s="19"/>
    </row>
    <row r="105" ht="15.75" customHeight="1">
      <c r="A105" s="19"/>
      <c r="B105" s="19"/>
      <c r="C105" s="19"/>
      <c r="D105" s="19"/>
      <c r="E105" s="19"/>
      <c r="F105" s="19"/>
    </row>
    <row r="106" ht="15.75" customHeight="1">
      <c r="A106" s="19"/>
      <c r="B106" s="19"/>
      <c r="C106" s="19"/>
      <c r="D106" s="19"/>
      <c r="E106" s="19"/>
      <c r="F106" s="19"/>
    </row>
    <row r="107" ht="15.75" customHeight="1">
      <c r="A107" s="19"/>
      <c r="B107" s="19"/>
      <c r="C107" s="19"/>
      <c r="D107" s="19"/>
      <c r="E107" s="19"/>
      <c r="F107" s="19"/>
    </row>
    <row r="108" ht="15.75" customHeight="1">
      <c r="A108" s="19"/>
      <c r="B108" s="19"/>
      <c r="C108" s="19"/>
      <c r="D108" s="19"/>
      <c r="E108" s="19"/>
      <c r="F108" s="19"/>
    </row>
    <row r="109" ht="15.75" customHeight="1">
      <c r="A109" s="19"/>
      <c r="B109" s="19"/>
      <c r="C109" s="19"/>
      <c r="D109" s="19"/>
      <c r="E109" s="19"/>
      <c r="F109" s="19"/>
    </row>
    <row r="110" ht="15.75" customHeight="1">
      <c r="A110" s="19"/>
      <c r="B110" s="19"/>
      <c r="C110" s="19"/>
      <c r="D110" s="19"/>
      <c r="E110" s="19"/>
      <c r="F110" s="19"/>
    </row>
    <row r="111" ht="15.75" customHeight="1">
      <c r="A111" s="19"/>
      <c r="B111" s="19"/>
      <c r="C111" s="19"/>
      <c r="D111" s="19"/>
      <c r="E111" s="19"/>
      <c r="F111" s="19"/>
    </row>
    <row r="112" ht="15.75" customHeight="1">
      <c r="A112" s="19"/>
      <c r="B112" s="19"/>
      <c r="C112" s="19"/>
      <c r="D112" s="19"/>
      <c r="E112" s="19"/>
      <c r="F112" s="19"/>
    </row>
    <row r="113" ht="15.75" customHeight="1">
      <c r="A113" s="19"/>
      <c r="B113" s="19"/>
      <c r="C113" s="19"/>
      <c r="D113" s="19"/>
      <c r="E113" s="19"/>
      <c r="F113" s="19"/>
    </row>
    <row r="114" ht="15.75" customHeight="1">
      <c r="A114" s="19"/>
      <c r="B114" s="19"/>
      <c r="C114" s="19"/>
      <c r="D114" s="19"/>
      <c r="E114" s="19"/>
      <c r="F114" s="19"/>
    </row>
    <row r="115" ht="15.75" customHeight="1">
      <c r="A115" s="19"/>
      <c r="B115" s="19"/>
      <c r="C115" s="19"/>
      <c r="D115" s="19"/>
      <c r="E115" s="19"/>
      <c r="F115" s="19"/>
    </row>
    <row r="116" ht="15.75" customHeight="1">
      <c r="A116" s="19"/>
      <c r="B116" s="19"/>
      <c r="C116" s="19"/>
      <c r="D116" s="19"/>
      <c r="E116" s="19"/>
      <c r="F116" s="19"/>
    </row>
    <row r="117" ht="15.75" customHeight="1">
      <c r="A117" s="19"/>
      <c r="B117" s="19"/>
      <c r="C117" s="19"/>
      <c r="D117" s="19"/>
      <c r="E117" s="19"/>
      <c r="F117" s="19"/>
    </row>
    <row r="118" ht="15.75" customHeight="1">
      <c r="A118" s="19"/>
      <c r="B118" s="19"/>
      <c r="C118" s="19"/>
      <c r="D118" s="19"/>
      <c r="E118" s="19"/>
      <c r="F118" s="19"/>
    </row>
    <row r="119" ht="15.75" customHeight="1">
      <c r="A119" s="19"/>
      <c r="B119" s="19"/>
      <c r="C119" s="19"/>
      <c r="D119" s="19"/>
      <c r="E119" s="19"/>
      <c r="F119" s="19"/>
    </row>
    <row r="120" ht="15.75" customHeight="1">
      <c r="A120" s="19"/>
      <c r="B120" s="19"/>
      <c r="C120" s="19"/>
      <c r="D120" s="19"/>
      <c r="E120" s="19"/>
      <c r="F120" s="19"/>
    </row>
    <row r="121" ht="15.75" customHeight="1">
      <c r="A121" s="19"/>
      <c r="B121" s="19"/>
      <c r="C121" s="19"/>
      <c r="D121" s="19"/>
      <c r="E121" s="19"/>
      <c r="F121" s="19"/>
    </row>
    <row r="122" ht="15.75" customHeight="1">
      <c r="A122" s="19"/>
      <c r="B122" s="19"/>
      <c r="C122" s="19"/>
      <c r="D122" s="19"/>
      <c r="E122" s="19"/>
      <c r="F122" s="19"/>
    </row>
    <row r="123" ht="15.75" customHeight="1">
      <c r="A123" s="19"/>
      <c r="B123" s="19"/>
      <c r="C123" s="19"/>
      <c r="D123" s="19"/>
      <c r="E123" s="19"/>
      <c r="F123" s="19"/>
    </row>
    <row r="124" ht="15.75" customHeight="1">
      <c r="A124" s="19"/>
      <c r="B124" s="19"/>
      <c r="C124" s="19"/>
      <c r="D124" s="19"/>
      <c r="E124" s="19"/>
      <c r="F124" s="19"/>
    </row>
    <row r="125" ht="15.75" customHeight="1">
      <c r="A125" s="19"/>
      <c r="B125" s="19"/>
      <c r="C125" s="19"/>
      <c r="D125" s="19"/>
      <c r="E125" s="19"/>
      <c r="F125" s="19"/>
    </row>
    <row r="126" ht="15.75" customHeight="1">
      <c r="A126" s="19"/>
      <c r="B126" s="19"/>
      <c r="C126" s="19"/>
      <c r="D126" s="19"/>
      <c r="E126" s="19"/>
      <c r="F126" s="19"/>
    </row>
    <row r="127" ht="15.75" customHeight="1">
      <c r="A127" s="19"/>
      <c r="B127" s="19"/>
      <c r="C127" s="19"/>
      <c r="D127" s="19"/>
      <c r="E127" s="19"/>
      <c r="F127" s="19"/>
    </row>
    <row r="128" ht="15.75" customHeight="1">
      <c r="A128" s="19"/>
      <c r="B128" s="19"/>
      <c r="C128" s="19"/>
      <c r="D128" s="19"/>
      <c r="E128" s="19"/>
      <c r="F128" s="19"/>
    </row>
    <row r="129" ht="15.75" customHeight="1">
      <c r="A129" s="19"/>
      <c r="B129" s="19"/>
      <c r="C129" s="19"/>
      <c r="D129" s="19"/>
      <c r="E129" s="19"/>
      <c r="F129" s="19"/>
    </row>
    <row r="130" ht="15.75" customHeight="1">
      <c r="A130" s="19"/>
      <c r="B130" s="19"/>
      <c r="C130" s="19"/>
      <c r="D130" s="19"/>
      <c r="E130" s="19"/>
      <c r="F130" s="19"/>
    </row>
    <row r="131" ht="15.75" customHeight="1">
      <c r="A131" s="19"/>
      <c r="B131" s="19"/>
      <c r="C131" s="19"/>
      <c r="D131" s="19"/>
      <c r="E131" s="19"/>
      <c r="F131" s="19"/>
    </row>
    <row r="132" ht="15.75" customHeight="1">
      <c r="A132" s="19"/>
      <c r="B132" s="19"/>
      <c r="C132" s="19"/>
      <c r="D132" s="19"/>
      <c r="E132" s="19"/>
      <c r="F132" s="19"/>
    </row>
    <row r="133" ht="15.75" customHeight="1">
      <c r="A133" s="19"/>
      <c r="B133" s="19"/>
      <c r="C133" s="19"/>
      <c r="D133" s="19"/>
      <c r="E133" s="19"/>
      <c r="F133" s="19"/>
    </row>
    <row r="134" ht="15.75" customHeight="1">
      <c r="A134" s="19"/>
      <c r="B134" s="19"/>
      <c r="C134" s="19"/>
      <c r="D134" s="19"/>
      <c r="E134" s="19"/>
      <c r="F134" s="19"/>
    </row>
    <row r="135" ht="15.75" customHeight="1">
      <c r="A135" s="19"/>
      <c r="B135" s="19"/>
      <c r="C135" s="19"/>
      <c r="D135" s="19"/>
      <c r="E135" s="19"/>
      <c r="F135" s="19"/>
    </row>
    <row r="136" ht="15.75" customHeight="1">
      <c r="A136" s="19"/>
      <c r="B136" s="19"/>
      <c r="C136" s="19"/>
      <c r="D136" s="19"/>
      <c r="E136" s="19"/>
      <c r="F136" s="19"/>
    </row>
    <row r="137" ht="15.75" customHeight="1">
      <c r="A137" s="19"/>
      <c r="B137" s="19"/>
      <c r="C137" s="19"/>
      <c r="D137" s="19"/>
      <c r="E137" s="19"/>
      <c r="F137" s="19"/>
    </row>
    <row r="138" ht="15.75" customHeight="1">
      <c r="A138" s="19"/>
      <c r="B138" s="19"/>
      <c r="C138" s="19"/>
      <c r="D138" s="19"/>
      <c r="E138" s="19"/>
      <c r="F138" s="19"/>
    </row>
    <row r="139" ht="15.75" customHeight="1">
      <c r="A139" s="19"/>
      <c r="B139" s="19"/>
      <c r="C139" s="19"/>
      <c r="D139" s="19"/>
      <c r="E139" s="19"/>
      <c r="F139" s="19"/>
    </row>
    <row r="140" ht="15.75" customHeight="1">
      <c r="A140" s="19"/>
      <c r="B140" s="19"/>
      <c r="C140" s="19"/>
      <c r="D140" s="19"/>
      <c r="E140" s="19"/>
      <c r="F140" s="19"/>
    </row>
    <row r="141" ht="15.75" customHeight="1">
      <c r="A141" s="19"/>
      <c r="B141" s="19"/>
      <c r="C141" s="19"/>
      <c r="D141" s="19"/>
      <c r="E141" s="19"/>
      <c r="F141" s="19"/>
    </row>
    <row r="142" ht="15.75" customHeight="1">
      <c r="A142" s="19"/>
      <c r="B142" s="19"/>
      <c r="C142" s="19"/>
      <c r="D142" s="19"/>
      <c r="E142" s="19"/>
      <c r="F142" s="19"/>
    </row>
    <row r="143" ht="15.75" customHeight="1">
      <c r="A143" s="19"/>
      <c r="B143" s="19"/>
      <c r="C143" s="19"/>
      <c r="D143" s="19"/>
      <c r="E143" s="19"/>
      <c r="F143" s="19"/>
    </row>
    <row r="144" ht="15.75" customHeight="1">
      <c r="A144" s="19"/>
      <c r="B144" s="19"/>
      <c r="C144" s="19"/>
      <c r="D144" s="19"/>
      <c r="E144" s="19"/>
      <c r="F144" s="19"/>
    </row>
    <row r="145" ht="15.75" customHeight="1">
      <c r="A145" s="19"/>
      <c r="B145" s="19"/>
      <c r="C145" s="19"/>
      <c r="D145" s="19"/>
      <c r="E145" s="19"/>
      <c r="F145" s="19"/>
    </row>
    <row r="146" ht="15.75" customHeight="1">
      <c r="A146" s="19"/>
      <c r="B146" s="19"/>
      <c r="C146" s="19"/>
      <c r="D146" s="19"/>
      <c r="E146" s="19"/>
      <c r="F146" s="19"/>
    </row>
    <row r="147" ht="15.75" customHeight="1">
      <c r="A147" s="19"/>
      <c r="B147" s="19"/>
      <c r="C147" s="19"/>
      <c r="D147" s="19"/>
      <c r="E147" s="19"/>
      <c r="F147" s="19"/>
    </row>
    <row r="148" ht="15.75" customHeight="1">
      <c r="A148" s="19"/>
      <c r="B148" s="19"/>
      <c r="C148" s="19"/>
      <c r="D148" s="19"/>
      <c r="E148" s="19"/>
      <c r="F148" s="19"/>
    </row>
    <row r="149" ht="15.75" customHeight="1">
      <c r="A149" s="19"/>
      <c r="B149" s="19"/>
      <c r="C149" s="19"/>
      <c r="D149" s="19"/>
      <c r="E149" s="19"/>
      <c r="F149" s="19"/>
    </row>
    <row r="150" ht="15.75" customHeight="1">
      <c r="A150" s="19"/>
      <c r="B150" s="19"/>
      <c r="C150" s="19"/>
      <c r="D150" s="19"/>
      <c r="E150" s="19"/>
      <c r="F150" s="19"/>
    </row>
    <row r="151" ht="15.75" customHeight="1">
      <c r="A151" s="19"/>
      <c r="B151" s="19"/>
      <c r="C151" s="19"/>
      <c r="D151" s="19"/>
      <c r="E151" s="19"/>
      <c r="F151" s="19"/>
    </row>
    <row r="152" ht="15.75" customHeight="1">
      <c r="A152" s="19"/>
      <c r="B152" s="19"/>
      <c r="C152" s="19"/>
      <c r="D152" s="19"/>
      <c r="E152" s="19"/>
      <c r="F152" s="19"/>
    </row>
    <row r="153" ht="15.75" customHeight="1">
      <c r="A153" s="19"/>
      <c r="B153" s="19"/>
      <c r="C153" s="19"/>
      <c r="D153" s="19"/>
      <c r="E153" s="19"/>
      <c r="F153" s="19"/>
    </row>
    <row r="154" ht="15.75" customHeight="1">
      <c r="A154" s="19"/>
      <c r="B154" s="19"/>
      <c r="C154" s="19"/>
      <c r="D154" s="19"/>
      <c r="E154" s="19"/>
      <c r="F154" s="19"/>
    </row>
    <row r="155" ht="15.75" customHeight="1">
      <c r="A155" s="19"/>
      <c r="B155" s="19"/>
      <c r="C155" s="19"/>
      <c r="D155" s="19"/>
      <c r="E155" s="19"/>
      <c r="F155" s="19"/>
    </row>
    <row r="156" ht="15.75" customHeight="1">
      <c r="A156" s="19"/>
      <c r="B156" s="19"/>
      <c r="C156" s="19"/>
      <c r="D156" s="19"/>
      <c r="E156" s="19"/>
      <c r="F156" s="19"/>
    </row>
    <row r="157" ht="15.75" customHeight="1">
      <c r="A157" s="19"/>
      <c r="B157" s="19"/>
      <c r="C157" s="19"/>
      <c r="D157" s="19"/>
      <c r="E157" s="19"/>
      <c r="F157" s="19"/>
    </row>
    <row r="158" ht="15.75" customHeight="1">
      <c r="A158" s="19"/>
      <c r="B158" s="19"/>
      <c r="C158" s="19"/>
      <c r="D158" s="19"/>
      <c r="E158" s="19"/>
      <c r="F158" s="19"/>
    </row>
    <row r="159" ht="15.75" customHeight="1">
      <c r="A159" s="19"/>
      <c r="B159" s="19"/>
      <c r="C159" s="19"/>
      <c r="D159" s="19"/>
      <c r="E159" s="19"/>
      <c r="F159" s="19"/>
    </row>
    <row r="160" ht="15.75" customHeight="1">
      <c r="A160" s="19"/>
      <c r="B160" s="19"/>
      <c r="C160" s="19"/>
      <c r="D160" s="19"/>
      <c r="E160" s="19"/>
      <c r="F160" s="19"/>
    </row>
    <row r="161" ht="15.75" customHeight="1">
      <c r="A161" s="19"/>
      <c r="B161" s="19"/>
      <c r="C161" s="19"/>
      <c r="D161" s="19"/>
      <c r="E161" s="19"/>
      <c r="F161" s="19"/>
    </row>
    <row r="162" ht="15.75" customHeight="1">
      <c r="A162" s="19"/>
      <c r="B162" s="19"/>
      <c r="C162" s="19"/>
      <c r="D162" s="19"/>
      <c r="E162" s="19"/>
      <c r="F162" s="19"/>
    </row>
    <row r="163" ht="15.75" customHeight="1">
      <c r="A163" s="19"/>
      <c r="B163" s="19"/>
      <c r="C163" s="19"/>
      <c r="D163" s="19"/>
      <c r="E163" s="19"/>
      <c r="F163" s="19"/>
    </row>
    <row r="164" ht="15.75" customHeight="1">
      <c r="A164" s="19"/>
      <c r="B164" s="19"/>
      <c r="C164" s="19"/>
      <c r="D164" s="19"/>
      <c r="E164" s="19"/>
      <c r="F164" s="19"/>
    </row>
    <row r="165" ht="15.75" customHeight="1">
      <c r="A165" s="19"/>
      <c r="B165" s="19"/>
      <c r="C165" s="19"/>
      <c r="D165" s="19"/>
      <c r="E165" s="19"/>
      <c r="F165" s="19"/>
    </row>
    <row r="166" ht="15.75" customHeight="1">
      <c r="A166" s="19"/>
      <c r="B166" s="19"/>
      <c r="C166" s="19"/>
      <c r="D166" s="19"/>
      <c r="E166" s="19"/>
      <c r="F166" s="19"/>
    </row>
    <row r="167" ht="15.75" customHeight="1">
      <c r="A167" s="19"/>
      <c r="B167" s="19"/>
      <c r="C167" s="19"/>
      <c r="D167" s="19"/>
      <c r="E167" s="19"/>
      <c r="F167" s="19"/>
    </row>
    <row r="168" ht="15.75" customHeight="1">
      <c r="A168" s="19"/>
      <c r="B168" s="19"/>
      <c r="C168" s="19"/>
      <c r="D168" s="19"/>
      <c r="E168" s="19"/>
      <c r="F168" s="19"/>
    </row>
    <row r="169" ht="15.75" customHeight="1">
      <c r="A169" s="19"/>
      <c r="B169" s="19"/>
      <c r="C169" s="19"/>
      <c r="D169" s="19"/>
      <c r="E169" s="19"/>
      <c r="F169" s="19"/>
    </row>
    <row r="170" ht="15.75" customHeight="1">
      <c r="A170" s="19"/>
      <c r="B170" s="19"/>
      <c r="C170" s="19"/>
      <c r="D170" s="19"/>
      <c r="E170" s="19"/>
      <c r="F170" s="19"/>
    </row>
    <row r="171" ht="15.75" customHeight="1">
      <c r="A171" s="19"/>
      <c r="B171" s="19"/>
      <c r="C171" s="19"/>
      <c r="D171" s="19"/>
      <c r="E171" s="19"/>
      <c r="F171" s="19"/>
    </row>
    <row r="172" ht="15.75" customHeight="1">
      <c r="A172" s="19"/>
      <c r="B172" s="19"/>
      <c r="C172" s="19"/>
      <c r="D172" s="19"/>
      <c r="E172" s="19"/>
      <c r="F172" s="19"/>
    </row>
    <row r="173" ht="15.75" customHeight="1">
      <c r="A173" s="19"/>
      <c r="B173" s="19"/>
      <c r="C173" s="19"/>
      <c r="D173" s="19"/>
      <c r="E173" s="19"/>
      <c r="F173" s="19"/>
    </row>
    <row r="174" ht="15.75" customHeight="1">
      <c r="A174" s="19"/>
      <c r="B174" s="19"/>
      <c r="C174" s="19"/>
      <c r="D174" s="19"/>
      <c r="E174" s="19"/>
      <c r="F174" s="19"/>
    </row>
    <row r="175" ht="15.75" customHeight="1">
      <c r="A175" s="19"/>
      <c r="B175" s="19"/>
      <c r="C175" s="19"/>
      <c r="D175" s="19"/>
      <c r="E175" s="19"/>
      <c r="F175" s="19"/>
    </row>
    <row r="176" ht="15.75" customHeight="1">
      <c r="A176" s="19"/>
      <c r="B176" s="19"/>
      <c r="C176" s="19"/>
      <c r="D176" s="19"/>
      <c r="E176" s="19"/>
      <c r="F176" s="19"/>
    </row>
    <row r="177" ht="15.75" customHeight="1">
      <c r="A177" s="19"/>
      <c r="B177" s="19"/>
      <c r="C177" s="19"/>
      <c r="D177" s="19"/>
      <c r="E177" s="19"/>
      <c r="F177" s="19"/>
    </row>
    <row r="178" ht="15.75" customHeight="1">
      <c r="A178" s="19"/>
      <c r="B178" s="19"/>
      <c r="C178" s="19"/>
      <c r="D178" s="19"/>
      <c r="E178" s="19"/>
      <c r="F178" s="19"/>
    </row>
    <row r="179" ht="15.75" customHeight="1">
      <c r="A179" s="19"/>
      <c r="B179" s="19"/>
      <c r="C179" s="19"/>
      <c r="D179" s="19"/>
      <c r="E179" s="19"/>
      <c r="F179" s="19"/>
    </row>
    <row r="180" ht="15.75" customHeight="1">
      <c r="A180" s="19"/>
      <c r="B180" s="19"/>
      <c r="C180" s="19"/>
      <c r="D180" s="19"/>
      <c r="E180" s="19"/>
      <c r="F180" s="19"/>
    </row>
    <row r="181" ht="15.75" customHeight="1">
      <c r="A181" s="19"/>
      <c r="B181" s="19"/>
      <c r="C181" s="19"/>
      <c r="D181" s="19"/>
      <c r="E181" s="19"/>
      <c r="F181" s="19"/>
    </row>
    <row r="182" ht="15.75" customHeight="1">
      <c r="A182" s="19"/>
      <c r="B182" s="19"/>
      <c r="C182" s="19"/>
      <c r="D182" s="19"/>
      <c r="E182" s="19"/>
      <c r="F182" s="19"/>
    </row>
    <row r="183" ht="15.75" customHeight="1">
      <c r="A183" s="19"/>
      <c r="B183" s="19"/>
      <c r="C183" s="19"/>
      <c r="D183" s="19"/>
      <c r="E183" s="19"/>
      <c r="F183" s="19"/>
    </row>
    <row r="184" ht="15.75" customHeight="1">
      <c r="A184" s="19"/>
      <c r="B184" s="19"/>
      <c r="C184" s="19"/>
      <c r="D184" s="19"/>
      <c r="E184" s="19"/>
      <c r="F184" s="19"/>
    </row>
    <row r="185" ht="15.75" customHeight="1">
      <c r="A185" s="19"/>
      <c r="B185" s="19"/>
      <c r="C185" s="19"/>
      <c r="D185" s="19"/>
      <c r="E185" s="19"/>
      <c r="F185" s="19"/>
    </row>
    <row r="186" ht="15.75" customHeight="1">
      <c r="A186" s="19"/>
      <c r="B186" s="19"/>
      <c r="C186" s="19"/>
      <c r="D186" s="19"/>
      <c r="E186" s="19"/>
      <c r="F186" s="19"/>
    </row>
    <row r="187" ht="15.75" customHeight="1">
      <c r="A187" s="19"/>
      <c r="B187" s="19"/>
      <c r="C187" s="19"/>
      <c r="D187" s="19"/>
      <c r="E187" s="19"/>
      <c r="F187" s="19"/>
    </row>
    <row r="188" ht="15.75" customHeight="1">
      <c r="A188" s="19"/>
      <c r="B188" s="19"/>
      <c r="C188" s="19"/>
      <c r="D188" s="19"/>
      <c r="E188" s="19"/>
      <c r="F188" s="19"/>
    </row>
    <row r="189" ht="15.75" customHeight="1">
      <c r="A189" s="19"/>
      <c r="B189" s="19"/>
      <c r="C189" s="19"/>
      <c r="D189" s="19"/>
      <c r="E189" s="19"/>
      <c r="F189" s="19"/>
    </row>
    <row r="190" ht="15.75" customHeight="1">
      <c r="A190" s="19"/>
      <c r="B190" s="19"/>
      <c r="C190" s="19"/>
      <c r="D190" s="19"/>
      <c r="E190" s="19"/>
      <c r="F190" s="19"/>
    </row>
    <row r="191" ht="15.75" customHeight="1">
      <c r="A191" s="19"/>
      <c r="B191" s="19"/>
      <c r="C191" s="19"/>
      <c r="D191" s="19"/>
      <c r="E191" s="19"/>
      <c r="F191" s="19"/>
    </row>
    <row r="192" ht="15.75" customHeight="1">
      <c r="A192" s="19"/>
      <c r="B192" s="19"/>
      <c r="C192" s="19"/>
      <c r="D192" s="19"/>
      <c r="E192" s="19"/>
      <c r="F192" s="19"/>
    </row>
    <row r="193" ht="15.75" customHeight="1">
      <c r="A193" s="19"/>
      <c r="B193" s="19"/>
      <c r="C193" s="19"/>
      <c r="D193" s="19"/>
      <c r="E193" s="19"/>
      <c r="F193" s="19"/>
    </row>
    <row r="194" ht="15.75" customHeight="1">
      <c r="A194" s="19"/>
      <c r="B194" s="19"/>
      <c r="C194" s="19"/>
      <c r="D194" s="19"/>
      <c r="E194" s="19"/>
      <c r="F194" s="19"/>
    </row>
    <row r="195" ht="15.75" customHeight="1">
      <c r="A195" s="19"/>
      <c r="B195" s="19"/>
      <c r="C195" s="19"/>
      <c r="D195" s="19"/>
      <c r="E195" s="19"/>
      <c r="F195" s="19"/>
    </row>
    <row r="196" ht="15.75" customHeight="1">
      <c r="A196" s="19"/>
      <c r="B196" s="19"/>
      <c r="C196" s="19"/>
      <c r="D196" s="19"/>
      <c r="E196" s="19"/>
      <c r="F196" s="19"/>
    </row>
    <row r="197" ht="15.75" customHeight="1">
      <c r="A197" s="19"/>
      <c r="B197" s="19"/>
      <c r="C197" s="19"/>
      <c r="D197" s="19"/>
      <c r="E197" s="19"/>
      <c r="F197" s="19"/>
    </row>
    <row r="198" ht="15.75" customHeight="1">
      <c r="A198" s="19"/>
      <c r="B198" s="19"/>
      <c r="C198" s="19"/>
      <c r="D198" s="19"/>
      <c r="E198" s="19"/>
      <c r="F198" s="19"/>
    </row>
    <row r="199" ht="15.75" customHeight="1">
      <c r="A199" s="19"/>
      <c r="B199" s="19"/>
      <c r="C199" s="19"/>
      <c r="D199" s="19"/>
      <c r="E199" s="19"/>
      <c r="F199" s="19"/>
    </row>
    <row r="200" ht="15.75" customHeight="1">
      <c r="A200" s="19"/>
      <c r="B200" s="19"/>
      <c r="C200" s="19"/>
      <c r="D200" s="19"/>
      <c r="E200" s="19"/>
      <c r="F200" s="19"/>
    </row>
    <row r="201" ht="15.75" customHeight="1">
      <c r="A201" s="19"/>
      <c r="B201" s="19"/>
      <c r="C201" s="19"/>
      <c r="D201" s="19"/>
      <c r="E201" s="19"/>
      <c r="F201" s="19"/>
    </row>
    <row r="202" ht="15.75" customHeight="1">
      <c r="A202" s="19"/>
      <c r="B202" s="19"/>
      <c r="C202" s="19"/>
      <c r="D202" s="19"/>
      <c r="E202" s="19"/>
      <c r="F202" s="19"/>
    </row>
    <row r="203" ht="15.75" customHeight="1">
      <c r="A203" s="19"/>
      <c r="B203" s="19"/>
      <c r="C203" s="19"/>
      <c r="D203" s="19"/>
      <c r="E203" s="19"/>
      <c r="F203" s="19"/>
    </row>
    <row r="204" ht="15.75" customHeight="1">
      <c r="A204" s="19"/>
      <c r="B204" s="19"/>
      <c r="C204" s="19"/>
      <c r="D204" s="19"/>
      <c r="E204" s="19"/>
      <c r="F204" s="19"/>
    </row>
    <row r="205" ht="15.75" customHeight="1">
      <c r="A205" s="19"/>
      <c r="B205" s="19"/>
      <c r="C205" s="19"/>
      <c r="D205" s="19"/>
      <c r="E205" s="19"/>
      <c r="F205" s="19"/>
    </row>
    <row r="206" ht="15.75" customHeight="1">
      <c r="A206" s="19"/>
      <c r="B206" s="19"/>
      <c r="C206" s="19"/>
      <c r="D206" s="19"/>
      <c r="E206" s="19"/>
      <c r="F206" s="19"/>
    </row>
    <row r="207" ht="15.75" customHeight="1">
      <c r="A207" s="19"/>
      <c r="B207" s="19"/>
      <c r="C207" s="19"/>
      <c r="D207" s="19"/>
      <c r="E207" s="19"/>
      <c r="F207" s="19"/>
    </row>
    <row r="208" ht="15.75" customHeight="1">
      <c r="A208" s="19"/>
      <c r="B208" s="19"/>
      <c r="C208" s="19"/>
      <c r="D208" s="19"/>
      <c r="E208" s="19"/>
      <c r="F208" s="19"/>
    </row>
    <row r="209" ht="15.75" customHeight="1">
      <c r="A209" s="19"/>
      <c r="B209" s="19"/>
      <c r="C209" s="19"/>
      <c r="D209" s="19"/>
      <c r="E209" s="19"/>
      <c r="F209" s="19"/>
    </row>
    <row r="210" ht="15.75" customHeight="1">
      <c r="A210" s="19"/>
      <c r="B210" s="19"/>
      <c r="C210" s="19"/>
      <c r="D210" s="19"/>
      <c r="E210" s="19"/>
      <c r="F210" s="19"/>
    </row>
    <row r="211" ht="15.75" customHeight="1">
      <c r="A211" s="19"/>
      <c r="B211" s="19"/>
      <c r="C211" s="19"/>
      <c r="D211" s="19"/>
      <c r="E211" s="19"/>
      <c r="F211" s="19"/>
    </row>
    <row r="212" ht="15.75" customHeight="1">
      <c r="A212" s="19"/>
      <c r="B212" s="19"/>
      <c r="C212" s="19"/>
      <c r="D212" s="19"/>
      <c r="E212" s="19"/>
      <c r="F212" s="19"/>
    </row>
    <row r="213" ht="15.75" customHeight="1">
      <c r="A213" s="19"/>
      <c r="B213" s="19"/>
      <c r="C213" s="19"/>
      <c r="D213" s="19"/>
      <c r="E213" s="19"/>
      <c r="F213" s="19"/>
    </row>
    <row r="214" ht="15.75" customHeight="1">
      <c r="A214" s="19"/>
      <c r="B214" s="19"/>
      <c r="C214" s="19"/>
      <c r="D214" s="19"/>
      <c r="E214" s="19"/>
      <c r="F214" s="19"/>
    </row>
    <row r="215" ht="15.75" customHeight="1">
      <c r="A215" s="19"/>
      <c r="B215" s="19"/>
      <c r="C215" s="19"/>
      <c r="D215" s="19"/>
      <c r="E215" s="19"/>
      <c r="F215" s="19"/>
    </row>
    <row r="216" ht="15.75" customHeight="1">
      <c r="A216" s="19"/>
      <c r="B216" s="19"/>
      <c r="C216" s="19"/>
      <c r="D216" s="19"/>
      <c r="E216" s="19"/>
      <c r="F216" s="19"/>
    </row>
    <row r="217" ht="15.75" customHeight="1">
      <c r="A217" s="19"/>
      <c r="B217" s="19"/>
      <c r="C217" s="19"/>
      <c r="D217" s="19"/>
      <c r="E217" s="19"/>
      <c r="F217" s="19"/>
    </row>
    <row r="218" ht="15.75" customHeight="1">
      <c r="A218" s="19"/>
      <c r="B218" s="19"/>
      <c r="C218" s="19"/>
      <c r="D218" s="19"/>
      <c r="E218" s="19"/>
      <c r="F218" s="19"/>
    </row>
    <row r="219" ht="15.75" customHeight="1">
      <c r="A219" s="19"/>
      <c r="B219" s="19"/>
      <c r="C219" s="19"/>
      <c r="D219" s="19"/>
      <c r="E219" s="19"/>
      <c r="F219" s="19"/>
    </row>
    <row r="220" ht="15.75" customHeight="1">
      <c r="A220" s="19"/>
      <c r="B220" s="19"/>
      <c r="C220" s="19"/>
      <c r="D220" s="19"/>
      <c r="E220" s="19"/>
      <c r="F220" s="19"/>
    </row>
    <row r="221" ht="15.75" customHeight="1">
      <c r="A221" s="19"/>
      <c r="B221" s="19"/>
      <c r="C221" s="19"/>
      <c r="D221" s="19"/>
      <c r="E221" s="19"/>
      <c r="F221" s="19"/>
    </row>
    <row r="222" ht="15.75" customHeight="1">
      <c r="A222" s="19"/>
      <c r="B222" s="19"/>
      <c r="C222" s="19"/>
      <c r="D222" s="19"/>
      <c r="E222" s="19"/>
      <c r="F222" s="19"/>
    </row>
    <row r="223" ht="15.75" customHeight="1">
      <c r="A223" s="19"/>
      <c r="B223" s="19"/>
      <c r="C223" s="19"/>
      <c r="D223" s="19"/>
      <c r="E223" s="19"/>
      <c r="F223" s="19"/>
    </row>
    <row r="224" ht="15.75" customHeight="1">
      <c r="A224" s="19"/>
      <c r="B224" s="19"/>
      <c r="C224" s="19"/>
      <c r="D224" s="19"/>
      <c r="E224" s="19"/>
      <c r="F224" s="19"/>
    </row>
    <row r="225" ht="15.75" customHeight="1">
      <c r="A225" s="19"/>
      <c r="B225" s="19"/>
      <c r="C225" s="19"/>
      <c r="D225" s="19"/>
      <c r="E225" s="19"/>
      <c r="F225" s="19"/>
    </row>
    <row r="226" ht="15.75" customHeight="1">
      <c r="A226" s="19"/>
      <c r="B226" s="19"/>
      <c r="C226" s="19"/>
      <c r="D226" s="19"/>
      <c r="E226" s="19"/>
      <c r="F226" s="19"/>
    </row>
    <row r="227" ht="15.75" customHeight="1">
      <c r="A227" s="19"/>
      <c r="B227" s="19"/>
      <c r="C227" s="19"/>
      <c r="D227" s="19"/>
      <c r="E227" s="19"/>
      <c r="F227" s="19"/>
    </row>
    <row r="228" ht="15.75" customHeight="1">
      <c r="A228" s="19"/>
      <c r="B228" s="19"/>
      <c r="C228" s="19"/>
      <c r="D228" s="19"/>
      <c r="E228" s="19"/>
      <c r="F228" s="19"/>
    </row>
    <row r="229" ht="15.75" customHeight="1">
      <c r="A229" s="19"/>
      <c r="B229" s="19"/>
      <c r="C229" s="19"/>
      <c r="D229" s="19"/>
      <c r="E229" s="19"/>
      <c r="F229" s="19"/>
    </row>
    <row r="230" ht="15.75" customHeight="1">
      <c r="A230" s="19"/>
      <c r="B230" s="19"/>
      <c r="C230" s="19"/>
      <c r="D230" s="19"/>
      <c r="E230" s="19"/>
      <c r="F230" s="19"/>
    </row>
    <row r="231" ht="15.75" customHeight="1">
      <c r="A231" s="19"/>
      <c r="B231" s="19"/>
      <c r="C231" s="19"/>
      <c r="D231" s="19"/>
      <c r="E231" s="19"/>
      <c r="F231" s="19"/>
    </row>
    <row r="232" ht="15.75" customHeight="1">
      <c r="A232" s="19"/>
      <c r="B232" s="19"/>
      <c r="C232" s="19"/>
      <c r="D232" s="19"/>
      <c r="E232" s="19"/>
      <c r="F232" s="19"/>
    </row>
    <row r="233" ht="15.75" customHeight="1">
      <c r="A233" s="19"/>
      <c r="B233" s="19"/>
      <c r="C233" s="19"/>
      <c r="D233" s="19"/>
      <c r="E233" s="19"/>
      <c r="F233" s="19"/>
    </row>
    <row r="234" ht="15.75" customHeight="1">
      <c r="A234" s="19"/>
      <c r="B234" s="19"/>
      <c r="C234" s="19"/>
      <c r="D234" s="19"/>
      <c r="E234" s="19"/>
      <c r="F234" s="19"/>
    </row>
    <row r="235" ht="15.75" customHeight="1">
      <c r="A235" s="19"/>
      <c r="B235" s="19"/>
      <c r="C235" s="19"/>
      <c r="D235" s="19"/>
      <c r="E235" s="19"/>
      <c r="F235" s="19"/>
    </row>
    <row r="236" ht="15.75" customHeight="1">
      <c r="A236" s="19"/>
      <c r="B236" s="19"/>
      <c r="C236" s="19"/>
      <c r="D236" s="19"/>
      <c r="E236" s="19"/>
      <c r="F236" s="19"/>
    </row>
    <row r="237" ht="15.75" customHeight="1">
      <c r="A237" s="19"/>
      <c r="B237" s="19"/>
      <c r="C237" s="19"/>
      <c r="D237" s="19"/>
      <c r="E237" s="19"/>
      <c r="F237" s="19"/>
    </row>
    <row r="238" ht="15.75" customHeight="1">
      <c r="A238" s="19"/>
      <c r="B238" s="19"/>
      <c r="C238" s="19"/>
      <c r="D238" s="19"/>
      <c r="E238" s="19"/>
      <c r="F238" s="19"/>
    </row>
    <row r="239" ht="15.75" customHeight="1">
      <c r="A239" s="19"/>
      <c r="B239" s="19"/>
      <c r="C239" s="19"/>
      <c r="D239" s="19"/>
      <c r="E239" s="19"/>
      <c r="F239" s="19"/>
    </row>
    <row r="240" ht="15.75" customHeight="1">
      <c r="A240" s="19"/>
      <c r="B240" s="19"/>
      <c r="C240" s="19"/>
      <c r="D240" s="19"/>
      <c r="E240" s="19"/>
      <c r="F240" s="19"/>
    </row>
    <row r="241" ht="15.75" customHeight="1">
      <c r="A241" s="19"/>
      <c r="B241" s="19"/>
      <c r="C241" s="19"/>
      <c r="D241" s="19"/>
      <c r="E241" s="19"/>
      <c r="F241" s="19"/>
    </row>
    <row r="242" ht="15.75" customHeight="1">
      <c r="A242" s="19"/>
      <c r="B242" s="19"/>
      <c r="C242" s="19"/>
      <c r="D242" s="19"/>
      <c r="E242" s="19"/>
      <c r="F242" s="19"/>
    </row>
    <row r="243" ht="15.75" customHeight="1">
      <c r="A243" s="19"/>
      <c r="B243" s="19"/>
      <c r="C243" s="19"/>
      <c r="D243" s="19"/>
      <c r="E243" s="19"/>
      <c r="F243" s="19"/>
    </row>
    <row r="244" ht="15.75" customHeight="1">
      <c r="A244" s="19"/>
      <c r="B244" s="19"/>
      <c r="C244" s="19"/>
      <c r="D244" s="19"/>
      <c r="E244" s="19"/>
      <c r="F244" s="19"/>
    </row>
    <row r="245" ht="15.75" customHeight="1">
      <c r="A245" s="19"/>
      <c r="B245" s="19"/>
      <c r="C245" s="19"/>
      <c r="D245" s="19"/>
      <c r="E245" s="19"/>
      <c r="F245" s="19"/>
    </row>
    <row r="246" ht="15.75" customHeight="1">
      <c r="A246" s="19"/>
      <c r="B246" s="19"/>
      <c r="C246" s="19"/>
      <c r="D246" s="19"/>
      <c r="E246" s="19"/>
      <c r="F246" s="19"/>
    </row>
    <row r="247" ht="15.75" customHeight="1">
      <c r="A247" s="19"/>
      <c r="B247" s="19"/>
      <c r="C247" s="19"/>
      <c r="D247" s="19"/>
      <c r="E247" s="19"/>
      <c r="F247" s="19"/>
    </row>
    <row r="248" ht="15.75" customHeight="1">
      <c r="A248" s="19"/>
      <c r="B248" s="19"/>
      <c r="C248" s="19"/>
      <c r="D248" s="19"/>
      <c r="E248" s="19"/>
      <c r="F248" s="19"/>
    </row>
    <row r="249" ht="15.75" customHeight="1">
      <c r="A249" s="19"/>
      <c r="B249" s="19"/>
      <c r="C249" s="19"/>
      <c r="D249" s="19"/>
      <c r="E249" s="19"/>
      <c r="F249" s="19"/>
    </row>
    <row r="250" ht="15.75" customHeight="1">
      <c r="A250" s="19"/>
      <c r="B250" s="19"/>
      <c r="C250" s="19"/>
      <c r="D250" s="19"/>
      <c r="E250" s="19"/>
      <c r="F250" s="19"/>
    </row>
    <row r="251" ht="15.75" customHeight="1">
      <c r="A251" s="19"/>
      <c r="B251" s="19"/>
      <c r="C251" s="19"/>
      <c r="D251" s="19"/>
      <c r="E251" s="19"/>
      <c r="F251" s="19"/>
    </row>
    <row r="252" ht="15.75" customHeight="1">
      <c r="A252" s="19"/>
      <c r="B252" s="19"/>
      <c r="C252" s="19"/>
      <c r="D252" s="19"/>
      <c r="E252" s="19"/>
      <c r="F252" s="19"/>
    </row>
    <row r="253" ht="15.75" customHeight="1">
      <c r="A253" s="19"/>
      <c r="B253" s="19"/>
      <c r="C253" s="19"/>
      <c r="D253" s="19"/>
      <c r="E253" s="19"/>
      <c r="F253" s="19"/>
    </row>
    <row r="254" ht="15.75" customHeight="1">
      <c r="A254" s="19"/>
      <c r="B254" s="19"/>
      <c r="C254" s="19"/>
      <c r="D254" s="19"/>
      <c r="E254" s="19"/>
      <c r="F254" s="19"/>
    </row>
    <row r="255" ht="15.75" customHeight="1">
      <c r="A255" s="19"/>
      <c r="B255" s="19"/>
      <c r="C255" s="19"/>
      <c r="D255" s="19"/>
      <c r="E255" s="19"/>
      <c r="F255" s="19"/>
    </row>
    <row r="256" ht="15.75" customHeight="1">
      <c r="A256" s="19"/>
      <c r="B256" s="19"/>
      <c r="C256" s="19"/>
      <c r="D256" s="19"/>
      <c r="E256" s="19"/>
      <c r="F256" s="19"/>
    </row>
    <row r="257" ht="15.75" customHeight="1">
      <c r="A257" s="19"/>
      <c r="B257" s="19"/>
      <c r="C257" s="19"/>
      <c r="D257" s="19"/>
      <c r="E257" s="19"/>
      <c r="F257" s="19"/>
    </row>
    <row r="258" ht="15.75" customHeight="1">
      <c r="A258" s="19"/>
      <c r="B258" s="19"/>
      <c r="C258" s="19"/>
      <c r="D258" s="19"/>
      <c r="E258" s="19"/>
      <c r="F258" s="19"/>
    </row>
    <row r="259" ht="15.75" customHeight="1">
      <c r="A259" s="19"/>
      <c r="B259" s="19"/>
      <c r="C259" s="19"/>
      <c r="D259" s="19"/>
      <c r="E259" s="19"/>
      <c r="F259" s="19"/>
    </row>
    <row r="260" ht="15.75" customHeight="1">
      <c r="A260" s="19"/>
      <c r="B260" s="19"/>
      <c r="C260" s="19"/>
      <c r="D260" s="19"/>
      <c r="E260" s="19"/>
      <c r="F260" s="19"/>
    </row>
    <row r="261" ht="15.75" customHeight="1">
      <c r="A261" s="19"/>
      <c r="B261" s="19"/>
      <c r="C261" s="19"/>
      <c r="D261" s="19"/>
      <c r="E261" s="19"/>
      <c r="F261" s="19"/>
    </row>
    <row r="262" ht="15.75" customHeight="1">
      <c r="A262" s="19"/>
      <c r="B262" s="19"/>
      <c r="C262" s="19"/>
      <c r="D262" s="19"/>
      <c r="E262" s="19"/>
      <c r="F262" s="19"/>
    </row>
    <row r="263" ht="15.75" customHeight="1">
      <c r="A263" s="19"/>
      <c r="B263" s="19"/>
      <c r="C263" s="19"/>
      <c r="D263" s="19"/>
      <c r="E263" s="19"/>
      <c r="F263" s="19"/>
    </row>
    <row r="264" ht="15.75" customHeight="1">
      <c r="A264" s="19"/>
      <c r="B264" s="19"/>
      <c r="C264" s="19"/>
      <c r="D264" s="19"/>
      <c r="E264" s="19"/>
      <c r="F264" s="19"/>
    </row>
    <row r="265" ht="15.75" customHeight="1">
      <c r="A265" s="19"/>
      <c r="B265" s="19"/>
      <c r="C265" s="19"/>
      <c r="D265" s="19"/>
      <c r="E265" s="19"/>
      <c r="F265" s="19"/>
    </row>
    <row r="266" ht="15.75" customHeight="1">
      <c r="A266" s="19"/>
      <c r="B266" s="19"/>
      <c r="C266" s="19"/>
      <c r="D266" s="19"/>
      <c r="E266" s="19"/>
      <c r="F266" s="19"/>
    </row>
    <row r="267" ht="15.75" customHeight="1">
      <c r="A267" s="19"/>
      <c r="B267" s="19"/>
      <c r="C267" s="19"/>
      <c r="D267" s="19"/>
      <c r="E267" s="19"/>
      <c r="F267" s="19"/>
    </row>
    <row r="268" ht="15.75" customHeight="1">
      <c r="A268" s="19"/>
      <c r="B268" s="19"/>
      <c r="C268" s="19"/>
      <c r="D268" s="19"/>
      <c r="E268" s="19"/>
      <c r="F268" s="19"/>
    </row>
    <row r="269" ht="15.75" customHeight="1">
      <c r="A269" s="19"/>
      <c r="B269" s="19"/>
      <c r="C269" s="19"/>
      <c r="D269" s="19"/>
      <c r="E269" s="19"/>
      <c r="F269" s="19"/>
    </row>
    <row r="270" ht="15.75" customHeight="1">
      <c r="A270" s="19"/>
      <c r="B270" s="19"/>
      <c r="C270" s="19"/>
      <c r="D270" s="19"/>
      <c r="E270" s="19"/>
      <c r="F270" s="19"/>
    </row>
    <row r="271" ht="15.75" customHeight="1">
      <c r="A271" s="19"/>
      <c r="B271" s="19"/>
      <c r="C271" s="19"/>
      <c r="D271" s="19"/>
      <c r="E271" s="19"/>
      <c r="F271" s="19"/>
    </row>
    <row r="272" ht="15.75" customHeight="1">
      <c r="A272" s="19"/>
      <c r="B272" s="19"/>
      <c r="C272" s="19"/>
      <c r="D272" s="19"/>
      <c r="E272" s="19"/>
      <c r="F272" s="19"/>
    </row>
    <row r="273" ht="15.75" customHeight="1">
      <c r="A273" s="19"/>
      <c r="B273" s="19"/>
      <c r="C273" s="19"/>
      <c r="D273" s="19"/>
      <c r="E273" s="19"/>
      <c r="F273" s="19"/>
    </row>
    <row r="274" ht="15.75" customHeight="1">
      <c r="A274" s="19"/>
      <c r="B274" s="19"/>
      <c r="C274" s="19"/>
      <c r="D274" s="19"/>
      <c r="E274" s="19"/>
      <c r="F274" s="19"/>
    </row>
    <row r="275" ht="15.75" customHeight="1">
      <c r="A275" s="19"/>
      <c r="B275" s="19"/>
      <c r="C275" s="19"/>
      <c r="D275" s="19"/>
      <c r="E275" s="19"/>
      <c r="F275" s="19"/>
    </row>
    <row r="276" ht="15.75" customHeight="1">
      <c r="A276" s="19"/>
      <c r="B276" s="19"/>
      <c r="C276" s="19"/>
      <c r="D276" s="19"/>
      <c r="E276" s="19"/>
      <c r="F276" s="19"/>
    </row>
    <row r="277" ht="15.75" customHeight="1">
      <c r="A277" s="19"/>
      <c r="B277" s="19"/>
      <c r="C277" s="19"/>
      <c r="D277" s="19"/>
      <c r="E277" s="19"/>
      <c r="F277" s="19"/>
    </row>
    <row r="278" ht="15.75" customHeight="1">
      <c r="A278" s="19"/>
      <c r="B278" s="19"/>
      <c r="C278" s="19"/>
      <c r="D278" s="19"/>
      <c r="E278" s="19"/>
      <c r="F278" s="19"/>
    </row>
    <row r="279" ht="15.75" customHeight="1">
      <c r="A279" s="19"/>
      <c r="B279" s="19"/>
      <c r="C279" s="19"/>
      <c r="D279" s="19"/>
      <c r="E279" s="19"/>
      <c r="F279" s="19"/>
    </row>
    <row r="280" ht="15.75" customHeight="1">
      <c r="A280" s="19"/>
      <c r="B280" s="19"/>
      <c r="C280" s="19"/>
      <c r="D280" s="19"/>
      <c r="E280" s="19"/>
      <c r="F280" s="19"/>
    </row>
    <row r="281" ht="15.75" customHeight="1">
      <c r="A281" s="19"/>
      <c r="B281" s="19"/>
      <c r="C281" s="19"/>
      <c r="D281" s="19"/>
      <c r="E281" s="19"/>
      <c r="F281" s="19"/>
    </row>
    <row r="282" ht="15.75" customHeight="1">
      <c r="A282" s="19"/>
      <c r="B282" s="19"/>
      <c r="C282" s="19"/>
      <c r="D282" s="19"/>
      <c r="E282" s="19"/>
      <c r="F282" s="19"/>
    </row>
    <row r="283" ht="15.75" customHeight="1">
      <c r="A283" s="19"/>
      <c r="B283" s="19"/>
      <c r="C283" s="19"/>
      <c r="D283" s="19"/>
      <c r="E283" s="19"/>
      <c r="F283" s="19"/>
    </row>
    <row r="284" ht="15.75" customHeight="1">
      <c r="A284" s="19"/>
      <c r="B284" s="19"/>
      <c r="C284" s="19"/>
      <c r="D284" s="19"/>
      <c r="E284" s="19"/>
      <c r="F284" s="19"/>
    </row>
    <row r="285" ht="15.75" customHeight="1">
      <c r="A285" s="19"/>
      <c r="B285" s="19"/>
      <c r="C285" s="19"/>
      <c r="D285" s="19"/>
      <c r="E285" s="19"/>
      <c r="F285" s="19"/>
    </row>
    <row r="286" ht="15.75" customHeight="1">
      <c r="A286" s="19"/>
      <c r="B286" s="19"/>
      <c r="C286" s="19"/>
      <c r="D286" s="19"/>
      <c r="E286" s="19"/>
      <c r="F286" s="19"/>
    </row>
    <row r="287" ht="15.75" customHeight="1">
      <c r="A287" s="19"/>
      <c r="B287" s="19"/>
      <c r="C287" s="19"/>
      <c r="D287" s="19"/>
      <c r="E287" s="19"/>
      <c r="F287" s="19"/>
    </row>
    <row r="288" ht="15.75" customHeight="1">
      <c r="A288" s="19"/>
      <c r="B288" s="19"/>
      <c r="C288" s="19"/>
      <c r="D288" s="19"/>
      <c r="E288" s="19"/>
      <c r="F288" s="19"/>
    </row>
    <row r="289" ht="15.75" customHeight="1">
      <c r="A289" s="19"/>
      <c r="B289" s="19"/>
      <c r="C289" s="19"/>
      <c r="D289" s="19"/>
      <c r="E289" s="19"/>
      <c r="F289" s="19"/>
    </row>
    <row r="290" ht="15.75" customHeight="1">
      <c r="A290" s="19"/>
      <c r="B290" s="19"/>
      <c r="C290" s="19"/>
      <c r="D290" s="19"/>
      <c r="E290" s="19"/>
      <c r="F290" s="19"/>
    </row>
    <row r="291" ht="15.75" customHeight="1">
      <c r="A291" s="19"/>
      <c r="B291" s="19"/>
      <c r="C291" s="19"/>
      <c r="D291" s="19"/>
      <c r="E291" s="19"/>
      <c r="F291" s="19"/>
    </row>
    <row r="292" ht="15.75" customHeight="1">
      <c r="A292" s="19"/>
      <c r="B292" s="19"/>
      <c r="C292" s="19"/>
      <c r="D292" s="19"/>
      <c r="E292" s="19"/>
      <c r="F292" s="19"/>
    </row>
    <row r="293" ht="15.75" customHeight="1">
      <c r="A293" s="19"/>
      <c r="B293" s="19"/>
      <c r="C293" s="19"/>
      <c r="D293" s="19"/>
      <c r="E293" s="19"/>
      <c r="F293" s="19"/>
    </row>
    <row r="294" ht="15.75" customHeight="1">
      <c r="A294" s="19"/>
      <c r="B294" s="19"/>
      <c r="C294" s="19"/>
      <c r="D294" s="19"/>
      <c r="E294" s="19"/>
      <c r="F294" s="19"/>
    </row>
    <row r="295" ht="15.75" customHeight="1">
      <c r="A295" s="19"/>
      <c r="B295" s="19"/>
      <c r="C295" s="19"/>
      <c r="D295" s="19"/>
      <c r="E295" s="19"/>
      <c r="F295" s="19"/>
    </row>
    <row r="296" ht="15.75" customHeight="1">
      <c r="A296" s="19"/>
      <c r="B296" s="19"/>
      <c r="C296" s="19"/>
      <c r="D296" s="19"/>
      <c r="E296" s="19"/>
      <c r="F296" s="19"/>
    </row>
    <row r="297" ht="15.75" customHeight="1">
      <c r="A297" s="19"/>
      <c r="B297" s="19"/>
      <c r="C297" s="19"/>
      <c r="D297" s="19"/>
      <c r="E297" s="19"/>
      <c r="F297" s="19"/>
    </row>
    <row r="298" ht="15.75" customHeight="1">
      <c r="A298" s="19"/>
      <c r="B298" s="19"/>
      <c r="C298" s="19"/>
      <c r="D298" s="19"/>
      <c r="E298" s="19"/>
      <c r="F298" s="19"/>
    </row>
    <row r="299" ht="15.75" customHeight="1">
      <c r="A299" s="19"/>
      <c r="B299" s="19"/>
      <c r="C299" s="19"/>
      <c r="D299" s="19"/>
      <c r="E299" s="19"/>
      <c r="F299" s="19"/>
    </row>
    <row r="300" ht="15.75" customHeight="1">
      <c r="A300" s="19"/>
      <c r="B300" s="19"/>
      <c r="C300" s="19"/>
      <c r="D300" s="19"/>
      <c r="E300" s="19"/>
      <c r="F300" s="19"/>
    </row>
    <row r="301" ht="15.75" customHeight="1">
      <c r="A301" s="19"/>
      <c r="B301" s="19"/>
      <c r="C301" s="19"/>
      <c r="D301" s="19"/>
      <c r="E301" s="19"/>
      <c r="F301" s="19"/>
    </row>
    <row r="302" ht="15.75" customHeight="1">
      <c r="A302" s="19"/>
      <c r="B302" s="19"/>
      <c r="C302" s="19"/>
      <c r="D302" s="19"/>
      <c r="E302" s="19"/>
      <c r="F302" s="19"/>
    </row>
    <row r="303" ht="15.75" customHeight="1">
      <c r="A303" s="19"/>
      <c r="B303" s="19"/>
      <c r="C303" s="19"/>
      <c r="D303" s="19"/>
      <c r="E303" s="19"/>
      <c r="F303" s="19"/>
    </row>
    <row r="304" ht="15.75" customHeight="1">
      <c r="A304" s="19"/>
      <c r="B304" s="19"/>
      <c r="C304" s="19"/>
      <c r="D304" s="19"/>
      <c r="E304" s="19"/>
      <c r="F304" s="19"/>
    </row>
    <row r="305" ht="15.75" customHeight="1">
      <c r="A305" s="19"/>
      <c r="B305" s="19"/>
      <c r="C305" s="19"/>
      <c r="D305" s="19"/>
      <c r="E305" s="19"/>
      <c r="F305" s="19"/>
    </row>
    <row r="306" ht="15.75" customHeight="1">
      <c r="A306" s="19"/>
      <c r="B306" s="19"/>
      <c r="C306" s="19"/>
      <c r="D306" s="19"/>
      <c r="E306" s="19"/>
      <c r="F306" s="19"/>
    </row>
    <row r="307" ht="15.75" customHeight="1">
      <c r="A307" s="19"/>
      <c r="B307" s="19"/>
      <c r="C307" s="19"/>
      <c r="D307" s="19"/>
      <c r="E307" s="19"/>
      <c r="F307" s="19"/>
    </row>
    <row r="308" ht="15.75" customHeight="1">
      <c r="A308" s="19"/>
      <c r="B308" s="19"/>
      <c r="C308" s="19"/>
      <c r="D308" s="19"/>
      <c r="E308" s="19"/>
      <c r="F308" s="19"/>
    </row>
    <row r="309" ht="15.75" customHeight="1">
      <c r="A309" s="19"/>
      <c r="B309" s="19"/>
      <c r="C309" s="19"/>
      <c r="D309" s="19"/>
      <c r="E309" s="19"/>
      <c r="F309" s="19"/>
    </row>
    <row r="310" ht="15.75" customHeight="1">
      <c r="A310" s="19"/>
      <c r="B310" s="19"/>
      <c r="C310" s="19"/>
      <c r="D310" s="19"/>
      <c r="E310" s="19"/>
      <c r="F310" s="19"/>
    </row>
    <row r="311" ht="15.75" customHeight="1">
      <c r="A311" s="19"/>
      <c r="B311" s="19"/>
      <c r="C311" s="19"/>
      <c r="D311" s="19"/>
      <c r="E311" s="19"/>
      <c r="F311" s="19"/>
    </row>
    <row r="312" ht="15.75" customHeight="1">
      <c r="A312" s="19"/>
      <c r="B312" s="19"/>
      <c r="C312" s="19"/>
      <c r="D312" s="19"/>
      <c r="E312" s="19"/>
      <c r="F312" s="19"/>
    </row>
    <row r="313" ht="15.75" customHeight="1">
      <c r="A313" s="19"/>
      <c r="B313" s="19"/>
      <c r="C313" s="19"/>
      <c r="D313" s="19"/>
      <c r="E313" s="19"/>
      <c r="F313" s="19"/>
    </row>
    <row r="314" ht="15.75" customHeight="1">
      <c r="A314" s="19"/>
      <c r="B314" s="19"/>
      <c r="C314" s="19"/>
      <c r="D314" s="19"/>
      <c r="E314" s="19"/>
      <c r="F314" s="19"/>
    </row>
    <row r="315" ht="15.75" customHeight="1">
      <c r="A315" s="19"/>
      <c r="B315" s="19"/>
      <c r="C315" s="19"/>
      <c r="D315" s="19"/>
      <c r="E315" s="19"/>
      <c r="F315" s="19"/>
    </row>
    <row r="316" ht="15.75" customHeight="1">
      <c r="A316" s="19"/>
      <c r="B316" s="19"/>
      <c r="C316" s="19"/>
      <c r="D316" s="19"/>
      <c r="E316" s="19"/>
      <c r="F316" s="19"/>
    </row>
    <row r="317" ht="15.75" customHeight="1">
      <c r="A317" s="19"/>
      <c r="B317" s="19"/>
      <c r="C317" s="19"/>
      <c r="D317" s="19"/>
      <c r="E317" s="19"/>
      <c r="F317" s="19"/>
    </row>
    <row r="318" ht="15.75" customHeight="1">
      <c r="A318" s="19"/>
      <c r="B318" s="19"/>
      <c r="C318" s="19"/>
      <c r="D318" s="19"/>
      <c r="E318" s="19"/>
      <c r="F318" s="19"/>
    </row>
    <row r="319" ht="15.75" customHeight="1">
      <c r="A319" s="19"/>
      <c r="B319" s="19"/>
      <c r="C319" s="19"/>
      <c r="D319" s="19"/>
      <c r="E319" s="19"/>
      <c r="F319" s="19"/>
    </row>
    <row r="320" ht="15.75" customHeight="1">
      <c r="A320" s="19"/>
      <c r="B320" s="19"/>
      <c r="C320" s="19"/>
      <c r="D320" s="19"/>
      <c r="E320" s="19"/>
      <c r="F320" s="19"/>
    </row>
    <row r="321" ht="15.75" customHeight="1">
      <c r="A321" s="19"/>
      <c r="B321" s="19"/>
      <c r="C321" s="19"/>
      <c r="D321" s="19"/>
      <c r="E321" s="19"/>
      <c r="F321" s="19"/>
    </row>
    <row r="322" ht="15.75" customHeight="1">
      <c r="A322" s="19"/>
      <c r="B322" s="19"/>
      <c r="C322" s="19"/>
      <c r="D322" s="19"/>
      <c r="E322" s="19"/>
      <c r="F322" s="19"/>
    </row>
    <row r="323" ht="15.75" customHeight="1">
      <c r="A323" s="19"/>
      <c r="B323" s="19"/>
      <c r="C323" s="19"/>
      <c r="D323" s="19"/>
      <c r="E323" s="19"/>
      <c r="F323" s="19"/>
    </row>
    <row r="324" ht="15.75" customHeight="1">
      <c r="A324" s="19"/>
      <c r="B324" s="19"/>
      <c r="C324" s="19"/>
      <c r="D324" s="19"/>
      <c r="E324" s="19"/>
      <c r="F324" s="19"/>
    </row>
    <row r="325" ht="15.75" customHeight="1">
      <c r="A325" s="19"/>
      <c r="B325" s="19"/>
      <c r="C325" s="19"/>
      <c r="D325" s="19"/>
      <c r="E325" s="19"/>
      <c r="F325" s="19"/>
    </row>
    <row r="326" ht="15.75" customHeight="1">
      <c r="A326" s="19"/>
      <c r="B326" s="19"/>
      <c r="C326" s="19"/>
      <c r="D326" s="19"/>
      <c r="E326" s="19"/>
      <c r="F326" s="19"/>
    </row>
    <row r="327" ht="15.75" customHeight="1">
      <c r="A327" s="19"/>
      <c r="B327" s="19"/>
      <c r="C327" s="19"/>
      <c r="D327" s="19"/>
      <c r="E327" s="19"/>
      <c r="F327" s="19"/>
    </row>
    <row r="328" ht="15.75" customHeight="1">
      <c r="A328" s="19"/>
      <c r="B328" s="19"/>
      <c r="C328" s="19"/>
      <c r="D328" s="19"/>
      <c r="E328" s="19"/>
      <c r="F328" s="19"/>
    </row>
    <row r="329" ht="15.75" customHeight="1">
      <c r="A329" s="19"/>
      <c r="B329" s="19"/>
      <c r="C329" s="19"/>
      <c r="D329" s="19"/>
      <c r="E329" s="19"/>
      <c r="F329" s="19"/>
    </row>
    <row r="330" ht="15.75" customHeight="1">
      <c r="A330" s="19"/>
      <c r="B330" s="19"/>
      <c r="C330" s="19"/>
      <c r="D330" s="19"/>
      <c r="E330" s="19"/>
      <c r="F330" s="19"/>
    </row>
    <row r="331" ht="15.75" customHeight="1">
      <c r="A331" s="19"/>
      <c r="B331" s="19"/>
      <c r="C331" s="19"/>
      <c r="D331" s="19"/>
      <c r="E331" s="19"/>
      <c r="F331" s="19"/>
    </row>
    <row r="332" ht="15.75" customHeight="1">
      <c r="A332" s="19"/>
      <c r="B332" s="19"/>
      <c r="C332" s="19"/>
      <c r="D332" s="19"/>
      <c r="E332" s="19"/>
      <c r="F332" s="19"/>
    </row>
    <row r="333" ht="15.75" customHeight="1">
      <c r="A333" s="19"/>
      <c r="B333" s="19"/>
      <c r="C333" s="19"/>
      <c r="D333" s="19"/>
      <c r="E333" s="19"/>
      <c r="F333" s="19"/>
    </row>
    <row r="334" ht="15.75" customHeight="1">
      <c r="A334" s="19"/>
      <c r="B334" s="19"/>
      <c r="C334" s="19"/>
      <c r="D334" s="19"/>
      <c r="E334" s="19"/>
      <c r="F334" s="19"/>
    </row>
    <row r="335" ht="15.75" customHeight="1">
      <c r="A335" s="19"/>
      <c r="B335" s="19"/>
      <c r="C335" s="19"/>
      <c r="D335" s="19"/>
      <c r="E335" s="19"/>
      <c r="F335" s="19"/>
    </row>
    <row r="336" ht="15.75" customHeight="1">
      <c r="A336" s="19"/>
      <c r="B336" s="19"/>
      <c r="C336" s="19"/>
      <c r="D336" s="19"/>
      <c r="E336" s="19"/>
      <c r="F336" s="19"/>
    </row>
    <row r="337" ht="15.75" customHeight="1">
      <c r="A337" s="19"/>
      <c r="B337" s="19"/>
      <c r="C337" s="19"/>
      <c r="D337" s="19"/>
      <c r="E337" s="19"/>
      <c r="F337" s="19"/>
    </row>
    <row r="338" ht="15.75" customHeight="1">
      <c r="A338" s="19"/>
      <c r="B338" s="19"/>
      <c r="C338" s="19"/>
      <c r="D338" s="19"/>
      <c r="E338" s="19"/>
      <c r="F338" s="19"/>
    </row>
    <row r="339" ht="15.75" customHeight="1">
      <c r="A339" s="19"/>
      <c r="B339" s="19"/>
      <c r="C339" s="19"/>
      <c r="D339" s="19"/>
      <c r="E339" s="19"/>
      <c r="F339" s="19"/>
    </row>
    <row r="340" ht="15.75" customHeight="1">
      <c r="A340" s="19"/>
      <c r="B340" s="19"/>
      <c r="C340" s="19"/>
      <c r="D340" s="19"/>
      <c r="E340" s="19"/>
      <c r="F340" s="19"/>
    </row>
    <row r="341" ht="15.75" customHeight="1">
      <c r="A341" s="19"/>
      <c r="B341" s="19"/>
      <c r="C341" s="19"/>
      <c r="D341" s="19"/>
      <c r="E341" s="19"/>
      <c r="F341" s="19"/>
    </row>
    <row r="342" ht="15.75" customHeight="1">
      <c r="A342" s="19"/>
      <c r="B342" s="19"/>
      <c r="C342" s="19"/>
      <c r="D342" s="19"/>
      <c r="E342" s="19"/>
      <c r="F342" s="19"/>
    </row>
    <row r="343" ht="15.75" customHeight="1">
      <c r="A343" s="19"/>
      <c r="B343" s="19"/>
      <c r="C343" s="19"/>
      <c r="D343" s="19"/>
      <c r="E343" s="19"/>
      <c r="F343" s="19"/>
    </row>
    <row r="344" ht="15.75" customHeight="1">
      <c r="A344" s="19"/>
      <c r="B344" s="19"/>
      <c r="C344" s="19"/>
      <c r="D344" s="19"/>
      <c r="E344" s="19"/>
      <c r="F344" s="19"/>
    </row>
    <row r="345" ht="15.75" customHeight="1">
      <c r="A345" s="19"/>
      <c r="B345" s="19"/>
      <c r="C345" s="19"/>
      <c r="D345" s="19"/>
      <c r="E345" s="19"/>
      <c r="F345" s="19"/>
    </row>
    <row r="346" ht="15.75" customHeight="1">
      <c r="A346" s="19"/>
      <c r="B346" s="19"/>
      <c r="C346" s="19"/>
      <c r="D346" s="19"/>
      <c r="E346" s="19"/>
      <c r="F346" s="19"/>
    </row>
    <row r="347" ht="15.75" customHeight="1">
      <c r="A347" s="19"/>
      <c r="B347" s="19"/>
      <c r="C347" s="19"/>
      <c r="D347" s="19"/>
      <c r="E347" s="19"/>
      <c r="F347" s="19"/>
    </row>
    <row r="348" ht="15.75" customHeight="1">
      <c r="A348" s="19"/>
      <c r="B348" s="19"/>
      <c r="C348" s="19"/>
      <c r="D348" s="19"/>
      <c r="E348" s="19"/>
      <c r="F348" s="19"/>
    </row>
    <row r="349" ht="15.75" customHeight="1">
      <c r="A349" s="19"/>
      <c r="B349" s="19"/>
      <c r="C349" s="19"/>
      <c r="D349" s="19"/>
      <c r="E349" s="19"/>
      <c r="F349" s="19"/>
    </row>
    <row r="350" ht="15.75" customHeight="1">
      <c r="A350" s="19"/>
      <c r="B350" s="19"/>
      <c r="C350" s="19"/>
      <c r="D350" s="19"/>
      <c r="E350" s="19"/>
      <c r="F350" s="19"/>
    </row>
    <row r="351" ht="15.75" customHeight="1">
      <c r="A351" s="19"/>
      <c r="B351" s="19"/>
      <c r="C351" s="19"/>
      <c r="D351" s="19"/>
      <c r="E351" s="19"/>
      <c r="F351" s="19"/>
    </row>
    <row r="352" ht="15.75" customHeight="1">
      <c r="A352" s="19"/>
      <c r="B352" s="19"/>
      <c r="C352" s="19"/>
      <c r="D352" s="19"/>
      <c r="E352" s="19"/>
      <c r="F352" s="19"/>
    </row>
    <row r="353" ht="15.75" customHeight="1">
      <c r="A353" s="19"/>
      <c r="B353" s="19"/>
      <c r="C353" s="19"/>
      <c r="D353" s="19"/>
      <c r="E353" s="19"/>
      <c r="F353" s="19"/>
    </row>
    <row r="354" ht="15.75" customHeight="1">
      <c r="A354" s="19"/>
      <c r="B354" s="19"/>
      <c r="C354" s="19"/>
      <c r="D354" s="19"/>
      <c r="E354" s="19"/>
      <c r="F354" s="19"/>
    </row>
    <row r="355" ht="15.75" customHeight="1">
      <c r="A355" s="19"/>
      <c r="B355" s="19"/>
      <c r="C355" s="19"/>
      <c r="D355" s="19"/>
      <c r="E355" s="19"/>
      <c r="F355" s="19"/>
    </row>
    <row r="356" ht="15.75" customHeight="1">
      <c r="A356" s="19"/>
      <c r="B356" s="19"/>
      <c r="C356" s="19"/>
      <c r="D356" s="19"/>
      <c r="E356" s="19"/>
      <c r="F356" s="19"/>
    </row>
    <row r="357" ht="15.75" customHeight="1">
      <c r="A357" s="19"/>
      <c r="B357" s="19"/>
      <c r="C357" s="19"/>
      <c r="D357" s="19"/>
      <c r="E357" s="19"/>
      <c r="F357" s="19"/>
    </row>
    <row r="358" ht="15.75" customHeight="1">
      <c r="A358" s="19"/>
      <c r="B358" s="19"/>
      <c r="C358" s="19"/>
      <c r="D358" s="19"/>
      <c r="E358" s="19"/>
      <c r="F358" s="19"/>
    </row>
    <row r="359" ht="15.75" customHeight="1">
      <c r="A359" s="19"/>
      <c r="B359" s="19"/>
      <c r="C359" s="19"/>
      <c r="D359" s="19"/>
      <c r="E359" s="19"/>
      <c r="F359" s="19"/>
    </row>
    <row r="360" ht="15.75" customHeight="1">
      <c r="A360" s="19"/>
      <c r="B360" s="19"/>
      <c r="C360" s="19"/>
      <c r="D360" s="19"/>
      <c r="E360" s="19"/>
      <c r="F360" s="19"/>
    </row>
    <row r="361" ht="15.75" customHeight="1">
      <c r="A361" s="19"/>
      <c r="B361" s="19"/>
      <c r="C361" s="19"/>
      <c r="D361" s="19"/>
      <c r="E361" s="19"/>
      <c r="F361" s="19"/>
    </row>
    <row r="362" ht="15.75" customHeight="1">
      <c r="A362" s="19"/>
      <c r="B362" s="19"/>
      <c r="C362" s="19"/>
      <c r="D362" s="19"/>
      <c r="E362" s="19"/>
      <c r="F362" s="19"/>
    </row>
    <row r="363" ht="15.75" customHeight="1">
      <c r="A363" s="19"/>
      <c r="B363" s="19"/>
      <c r="C363" s="19"/>
      <c r="D363" s="19"/>
      <c r="E363" s="19"/>
      <c r="F363" s="19"/>
    </row>
    <row r="364" ht="15.75" customHeight="1">
      <c r="A364" s="19"/>
      <c r="B364" s="19"/>
      <c r="C364" s="19"/>
      <c r="D364" s="19"/>
      <c r="E364" s="19"/>
      <c r="F364" s="19"/>
    </row>
    <row r="365" ht="15.75" customHeight="1">
      <c r="A365" s="19"/>
      <c r="B365" s="19"/>
      <c r="C365" s="19"/>
      <c r="D365" s="19"/>
      <c r="E365" s="19"/>
      <c r="F365" s="19"/>
    </row>
    <row r="366" ht="15.75" customHeight="1">
      <c r="A366" s="19"/>
      <c r="B366" s="19"/>
      <c r="C366" s="19"/>
      <c r="D366" s="19"/>
      <c r="E366" s="19"/>
      <c r="F366" s="19"/>
    </row>
    <row r="367" ht="15.75" customHeight="1">
      <c r="A367" s="19"/>
      <c r="B367" s="19"/>
      <c r="C367" s="19"/>
      <c r="D367" s="19"/>
      <c r="E367" s="19"/>
      <c r="F367" s="19"/>
    </row>
    <row r="368" ht="15.75" customHeight="1">
      <c r="A368" s="19"/>
      <c r="B368" s="19"/>
      <c r="C368" s="19"/>
      <c r="D368" s="19"/>
      <c r="E368" s="19"/>
      <c r="F368" s="19"/>
    </row>
    <row r="369" ht="15.75" customHeight="1">
      <c r="A369" s="19"/>
      <c r="B369" s="19"/>
      <c r="C369" s="19"/>
      <c r="D369" s="19"/>
      <c r="E369" s="19"/>
      <c r="F369" s="19"/>
    </row>
    <row r="370" ht="15.75" customHeight="1">
      <c r="A370" s="19"/>
      <c r="B370" s="19"/>
      <c r="C370" s="19"/>
      <c r="D370" s="19"/>
      <c r="E370" s="19"/>
      <c r="F370" s="19"/>
    </row>
    <row r="371" ht="15.75" customHeight="1">
      <c r="A371" s="19"/>
      <c r="B371" s="19"/>
      <c r="C371" s="19"/>
      <c r="D371" s="19"/>
      <c r="E371" s="19"/>
      <c r="F371" s="19"/>
    </row>
    <row r="372" ht="15.75" customHeight="1">
      <c r="A372" s="19"/>
      <c r="B372" s="19"/>
      <c r="C372" s="19"/>
      <c r="D372" s="19"/>
      <c r="E372" s="19"/>
      <c r="F372" s="19"/>
    </row>
    <row r="373" ht="15.75" customHeight="1">
      <c r="A373" s="19"/>
      <c r="B373" s="19"/>
      <c r="C373" s="19"/>
      <c r="D373" s="19"/>
      <c r="E373" s="19"/>
      <c r="F373" s="19"/>
    </row>
    <row r="374" ht="15.75" customHeight="1">
      <c r="A374" s="19"/>
      <c r="B374" s="19"/>
      <c r="C374" s="19"/>
      <c r="D374" s="19"/>
      <c r="E374" s="19"/>
      <c r="F374" s="19"/>
    </row>
    <row r="375" ht="15.75" customHeight="1">
      <c r="A375" s="19"/>
      <c r="B375" s="19"/>
      <c r="C375" s="19"/>
      <c r="D375" s="19"/>
      <c r="E375" s="19"/>
      <c r="F375" s="19"/>
    </row>
    <row r="376" ht="15.75" customHeight="1">
      <c r="A376" s="19"/>
      <c r="B376" s="19"/>
      <c r="C376" s="19"/>
      <c r="D376" s="19"/>
      <c r="E376" s="19"/>
      <c r="F376" s="19"/>
    </row>
    <row r="377" ht="15.75" customHeight="1">
      <c r="A377" s="19"/>
      <c r="B377" s="19"/>
      <c r="C377" s="19"/>
      <c r="D377" s="19"/>
      <c r="E377" s="19"/>
      <c r="F377" s="19"/>
    </row>
    <row r="378" ht="15.75" customHeight="1">
      <c r="A378" s="19"/>
      <c r="B378" s="19"/>
      <c r="C378" s="19"/>
      <c r="D378" s="19"/>
      <c r="E378" s="19"/>
      <c r="F378" s="19"/>
    </row>
    <row r="379" ht="15.75" customHeight="1">
      <c r="A379" s="19"/>
      <c r="B379" s="19"/>
      <c r="C379" s="19"/>
      <c r="D379" s="19"/>
      <c r="E379" s="19"/>
      <c r="F379" s="19"/>
    </row>
    <row r="380" ht="15.75" customHeight="1">
      <c r="A380" s="19"/>
      <c r="B380" s="19"/>
      <c r="C380" s="19"/>
      <c r="D380" s="19"/>
      <c r="E380" s="19"/>
      <c r="F380" s="19"/>
    </row>
    <row r="381" ht="15.75" customHeight="1">
      <c r="A381" s="19"/>
      <c r="B381" s="19"/>
      <c r="C381" s="19"/>
      <c r="D381" s="19"/>
      <c r="E381" s="19"/>
      <c r="F381" s="19"/>
    </row>
    <row r="382" ht="15.75" customHeight="1">
      <c r="A382" s="19"/>
      <c r="B382" s="19"/>
      <c r="C382" s="19"/>
      <c r="D382" s="19"/>
      <c r="E382" s="19"/>
      <c r="F382" s="19"/>
    </row>
    <row r="383" ht="15.75" customHeight="1">
      <c r="A383" s="19"/>
      <c r="B383" s="19"/>
      <c r="C383" s="19"/>
      <c r="D383" s="19"/>
      <c r="E383" s="19"/>
      <c r="F383" s="19"/>
    </row>
    <row r="384" ht="15.75" customHeight="1">
      <c r="A384" s="19"/>
      <c r="B384" s="19"/>
      <c r="C384" s="19"/>
      <c r="D384" s="19"/>
      <c r="E384" s="19"/>
      <c r="F384" s="19"/>
    </row>
    <row r="385" ht="15.75" customHeight="1">
      <c r="A385" s="19"/>
      <c r="B385" s="19"/>
      <c r="C385" s="19"/>
      <c r="D385" s="19"/>
      <c r="E385" s="19"/>
      <c r="F385" s="19"/>
    </row>
    <row r="386" ht="15.75" customHeight="1">
      <c r="A386" s="19"/>
      <c r="B386" s="19"/>
      <c r="C386" s="19"/>
      <c r="D386" s="19"/>
      <c r="E386" s="19"/>
      <c r="F386" s="19"/>
    </row>
    <row r="387" ht="15.75" customHeight="1">
      <c r="A387" s="19"/>
      <c r="B387" s="19"/>
      <c r="C387" s="19"/>
      <c r="D387" s="19"/>
      <c r="E387" s="19"/>
      <c r="F387" s="19"/>
    </row>
    <row r="388" ht="15.75" customHeight="1">
      <c r="A388" s="19"/>
      <c r="B388" s="19"/>
      <c r="C388" s="19"/>
      <c r="D388" s="19"/>
      <c r="E388" s="19"/>
      <c r="F388" s="19"/>
    </row>
    <row r="389" ht="15.75" customHeight="1">
      <c r="A389" s="19"/>
      <c r="B389" s="19"/>
      <c r="C389" s="19"/>
      <c r="D389" s="19"/>
      <c r="E389" s="19"/>
      <c r="F389" s="19"/>
    </row>
    <row r="390" ht="15.75" customHeight="1">
      <c r="A390" s="19"/>
      <c r="B390" s="19"/>
      <c r="C390" s="19"/>
      <c r="D390" s="19"/>
      <c r="E390" s="19"/>
      <c r="F390" s="19"/>
    </row>
    <row r="391" ht="15.75" customHeight="1">
      <c r="A391" s="19"/>
      <c r="B391" s="19"/>
      <c r="C391" s="19"/>
      <c r="D391" s="19"/>
      <c r="E391" s="19"/>
      <c r="F391" s="19"/>
    </row>
    <row r="392" ht="15.75" customHeight="1">
      <c r="A392" s="19"/>
      <c r="B392" s="19"/>
      <c r="C392" s="19"/>
      <c r="D392" s="19"/>
      <c r="E392" s="19"/>
      <c r="F392" s="19"/>
    </row>
    <row r="393" ht="15.75" customHeight="1">
      <c r="A393" s="19"/>
      <c r="B393" s="19"/>
      <c r="C393" s="19"/>
      <c r="D393" s="19"/>
      <c r="E393" s="19"/>
      <c r="F393" s="19"/>
    </row>
    <row r="394" ht="15.75" customHeight="1">
      <c r="A394" s="19"/>
      <c r="B394" s="19"/>
      <c r="C394" s="19"/>
      <c r="D394" s="19"/>
      <c r="E394" s="19"/>
      <c r="F394" s="19"/>
    </row>
    <row r="395" ht="15.75" customHeight="1">
      <c r="A395" s="19"/>
      <c r="B395" s="19"/>
      <c r="C395" s="19"/>
      <c r="D395" s="19"/>
      <c r="E395" s="19"/>
      <c r="F395" s="19"/>
    </row>
    <row r="396" ht="15.75" customHeight="1">
      <c r="A396" s="19"/>
      <c r="B396" s="19"/>
      <c r="C396" s="19"/>
      <c r="D396" s="19"/>
      <c r="E396" s="19"/>
      <c r="F396" s="19"/>
    </row>
    <row r="397" ht="15.75" customHeight="1">
      <c r="A397" s="19"/>
      <c r="B397" s="19"/>
      <c r="C397" s="19"/>
      <c r="D397" s="19"/>
      <c r="E397" s="19"/>
      <c r="F397" s="19"/>
    </row>
    <row r="398" ht="15.75" customHeight="1">
      <c r="A398" s="19"/>
      <c r="B398" s="19"/>
      <c r="C398" s="19"/>
      <c r="D398" s="19"/>
      <c r="E398" s="19"/>
      <c r="F398" s="19"/>
    </row>
    <row r="399" ht="15.75" customHeight="1">
      <c r="A399" s="19"/>
      <c r="B399" s="19"/>
      <c r="C399" s="19"/>
      <c r="D399" s="19"/>
      <c r="E399" s="19"/>
      <c r="F399" s="19"/>
    </row>
    <row r="400" ht="15.75" customHeight="1">
      <c r="A400" s="19"/>
      <c r="B400" s="19"/>
      <c r="C400" s="19"/>
      <c r="D400" s="19"/>
      <c r="E400" s="19"/>
      <c r="F400" s="19"/>
    </row>
    <row r="401" ht="15.75" customHeight="1">
      <c r="A401" s="19"/>
      <c r="B401" s="19"/>
      <c r="C401" s="19"/>
      <c r="D401" s="19"/>
      <c r="E401" s="19"/>
      <c r="F401" s="19"/>
    </row>
    <row r="402" ht="15.75" customHeight="1">
      <c r="A402" s="19"/>
      <c r="B402" s="19"/>
      <c r="C402" s="19"/>
      <c r="D402" s="19"/>
      <c r="E402" s="19"/>
      <c r="F402" s="19"/>
    </row>
    <row r="403" ht="15.75" customHeight="1">
      <c r="A403" s="19"/>
      <c r="B403" s="19"/>
      <c r="C403" s="19"/>
      <c r="D403" s="19"/>
      <c r="E403" s="19"/>
      <c r="F403" s="19"/>
    </row>
    <row r="404" ht="15.75" customHeight="1">
      <c r="A404" s="19"/>
      <c r="B404" s="19"/>
      <c r="C404" s="19"/>
      <c r="D404" s="19"/>
      <c r="E404" s="19"/>
      <c r="F404" s="19"/>
    </row>
    <row r="405" ht="15.75" customHeight="1">
      <c r="A405" s="19"/>
      <c r="B405" s="19"/>
      <c r="C405" s="19"/>
      <c r="D405" s="19"/>
      <c r="E405" s="19"/>
      <c r="F405" s="19"/>
    </row>
    <row r="406" ht="15.75" customHeight="1">
      <c r="A406" s="19"/>
      <c r="B406" s="19"/>
      <c r="C406" s="19"/>
      <c r="D406" s="19"/>
      <c r="E406" s="19"/>
      <c r="F406" s="19"/>
    </row>
    <row r="407" ht="15.75" customHeight="1">
      <c r="A407" s="19"/>
      <c r="B407" s="19"/>
      <c r="C407" s="19"/>
      <c r="D407" s="19"/>
      <c r="E407" s="19"/>
      <c r="F407" s="19"/>
    </row>
    <row r="408" ht="15.75" customHeight="1">
      <c r="A408" s="19"/>
      <c r="B408" s="19"/>
      <c r="C408" s="19"/>
      <c r="D408" s="19"/>
      <c r="E408" s="19"/>
      <c r="F408" s="19"/>
    </row>
    <row r="409" ht="15.75" customHeight="1">
      <c r="A409" s="19"/>
      <c r="B409" s="19"/>
      <c r="C409" s="19"/>
      <c r="D409" s="19"/>
      <c r="E409" s="19"/>
      <c r="F409" s="19"/>
    </row>
    <row r="410" ht="15.75" customHeight="1">
      <c r="A410" s="19"/>
      <c r="B410" s="19"/>
      <c r="C410" s="19"/>
      <c r="D410" s="19"/>
      <c r="E410" s="19"/>
      <c r="F410" s="19"/>
    </row>
    <row r="411" ht="15.75" customHeight="1">
      <c r="A411" s="19"/>
      <c r="B411" s="19"/>
      <c r="C411" s="19"/>
      <c r="D411" s="19"/>
      <c r="E411" s="19"/>
      <c r="F411" s="19"/>
    </row>
    <row r="412" ht="15.75" customHeight="1">
      <c r="A412" s="19"/>
      <c r="B412" s="19"/>
      <c r="C412" s="19"/>
      <c r="D412" s="19"/>
      <c r="E412" s="19"/>
      <c r="F412" s="19"/>
    </row>
    <row r="413" ht="15.75" customHeight="1">
      <c r="A413" s="19"/>
      <c r="B413" s="19"/>
      <c r="C413" s="19"/>
      <c r="D413" s="19"/>
      <c r="E413" s="19"/>
      <c r="F413" s="19"/>
    </row>
    <row r="414" ht="15.75" customHeight="1">
      <c r="A414" s="19"/>
      <c r="B414" s="19"/>
      <c r="C414" s="19"/>
      <c r="D414" s="19"/>
      <c r="E414" s="19"/>
      <c r="F414" s="19"/>
    </row>
    <row r="415" ht="15.75" customHeight="1">
      <c r="A415" s="19"/>
      <c r="B415" s="19"/>
      <c r="C415" s="19"/>
      <c r="D415" s="19"/>
      <c r="E415" s="19"/>
      <c r="F415" s="19"/>
    </row>
    <row r="416" ht="15.75" customHeight="1">
      <c r="A416" s="19"/>
      <c r="B416" s="19"/>
      <c r="C416" s="19"/>
      <c r="D416" s="19"/>
      <c r="E416" s="19"/>
      <c r="F416" s="19"/>
    </row>
    <row r="417" ht="15.75" customHeight="1">
      <c r="A417" s="19"/>
      <c r="B417" s="19"/>
      <c r="C417" s="19"/>
      <c r="D417" s="19"/>
      <c r="E417" s="19"/>
      <c r="F417" s="19"/>
    </row>
    <row r="418" ht="15.75" customHeight="1">
      <c r="A418" s="19"/>
      <c r="B418" s="19"/>
      <c r="C418" s="19"/>
      <c r="D418" s="19"/>
      <c r="E418" s="19"/>
      <c r="F418" s="19"/>
    </row>
    <row r="419" ht="15.75" customHeight="1">
      <c r="A419" s="19"/>
      <c r="B419" s="19"/>
      <c r="C419" s="19"/>
      <c r="D419" s="19"/>
      <c r="E419" s="19"/>
      <c r="F419" s="19"/>
    </row>
    <row r="420" ht="15.75" customHeight="1">
      <c r="A420" s="19"/>
      <c r="B420" s="19"/>
      <c r="C420" s="19"/>
      <c r="D420" s="19"/>
      <c r="E420" s="19"/>
      <c r="F420" s="19"/>
    </row>
    <row r="421" ht="15.75" customHeight="1">
      <c r="A421" s="19"/>
      <c r="B421" s="19"/>
      <c r="C421" s="19"/>
      <c r="D421" s="19"/>
      <c r="E421" s="19"/>
      <c r="F421" s="19"/>
    </row>
    <row r="422" ht="15.75" customHeight="1">
      <c r="A422" s="19"/>
      <c r="B422" s="19"/>
      <c r="C422" s="19"/>
      <c r="D422" s="19"/>
      <c r="E422" s="19"/>
      <c r="F422" s="19"/>
    </row>
    <row r="423" ht="15.75" customHeight="1">
      <c r="A423" s="19"/>
      <c r="B423" s="19"/>
      <c r="C423" s="19"/>
      <c r="D423" s="19"/>
      <c r="E423" s="19"/>
      <c r="F423" s="19"/>
    </row>
    <row r="424" ht="15.75" customHeight="1">
      <c r="A424" s="19"/>
      <c r="B424" s="19"/>
      <c r="C424" s="19"/>
      <c r="D424" s="19"/>
      <c r="E424" s="19"/>
      <c r="F424" s="19"/>
    </row>
    <row r="425" ht="15.75" customHeight="1">
      <c r="A425" s="19"/>
      <c r="B425" s="19"/>
      <c r="C425" s="19"/>
      <c r="D425" s="19"/>
      <c r="E425" s="19"/>
      <c r="F425" s="19"/>
    </row>
    <row r="426" ht="15.75" customHeight="1">
      <c r="A426" s="19"/>
      <c r="B426" s="19"/>
      <c r="C426" s="19"/>
      <c r="D426" s="19"/>
      <c r="E426" s="19"/>
      <c r="F426" s="19"/>
    </row>
    <row r="427" ht="15.75" customHeight="1">
      <c r="A427" s="19"/>
      <c r="B427" s="19"/>
      <c r="C427" s="19"/>
      <c r="D427" s="19"/>
      <c r="E427" s="19"/>
      <c r="F427" s="19"/>
    </row>
    <row r="428" ht="15.75" customHeight="1">
      <c r="A428" s="19"/>
      <c r="B428" s="19"/>
      <c r="C428" s="19"/>
      <c r="D428" s="19"/>
      <c r="E428" s="19"/>
      <c r="F428" s="19"/>
    </row>
    <row r="429" ht="15.75" customHeight="1">
      <c r="A429" s="19"/>
      <c r="B429" s="19"/>
      <c r="C429" s="19"/>
      <c r="D429" s="19"/>
      <c r="E429" s="19"/>
      <c r="F429" s="19"/>
    </row>
    <row r="430" ht="15.75" customHeight="1">
      <c r="A430" s="19"/>
      <c r="B430" s="19"/>
      <c r="C430" s="19"/>
      <c r="D430" s="19"/>
      <c r="E430" s="19"/>
      <c r="F430" s="19"/>
    </row>
    <row r="431" ht="15.75" customHeight="1">
      <c r="A431" s="19"/>
      <c r="B431" s="19"/>
      <c r="C431" s="19"/>
      <c r="D431" s="19"/>
      <c r="E431" s="19"/>
      <c r="F431" s="19"/>
    </row>
    <row r="432" ht="15.75" customHeight="1">
      <c r="A432" s="19"/>
      <c r="B432" s="19"/>
      <c r="C432" s="19"/>
      <c r="D432" s="19"/>
      <c r="E432" s="19"/>
      <c r="F432" s="19"/>
    </row>
    <row r="433" ht="15.75" customHeight="1">
      <c r="A433" s="19"/>
      <c r="B433" s="19"/>
      <c r="C433" s="19"/>
      <c r="D433" s="19"/>
      <c r="E433" s="19"/>
      <c r="F433" s="19"/>
    </row>
    <row r="434" ht="15.75" customHeight="1">
      <c r="A434" s="19"/>
      <c r="B434" s="19"/>
      <c r="C434" s="19"/>
      <c r="D434" s="19"/>
      <c r="E434" s="19"/>
      <c r="F434" s="19"/>
    </row>
    <row r="435" ht="15.75" customHeight="1">
      <c r="A435" s="19"/>
      <c r="B435" s="19"/>
      <c r="C435" s="19"/>
      <c r="D435" s="19"/>
      <c r="E435" s="19"/>
      <c r="F435" s="19"/>
    </row>
    <row r="436" ht="15.75" customHeight="1">
      <c r="A436" s="19"/>
      <c r="B436" s="19"/>
      <c r="C436" s="19"/>
      <c r="D436" s="19"/>
      <c r="E436" s="19"/>
      <c r="F436" s="19"/>
    </row>
    <row r="437" ht="15.75" customHeight="1">
      <c r="A437" s="19"/>
      <c r="B437" s="19"/>
      <c r="C437" s="19"/>
      <c r="D437" s="19"/>
      <c r="E437" s="19"/>
      <c r="F437" s="19"/>
    </row>
    <row r="438" ht="15.75" customHeight="1">
      <c r="A438" s="19"/>
      <c r="B438" s="19"/>
      <c r="C438" s="19"/>
      <c r="D438" s="19"/>
      <c r="E438" s="19"/>
      <c r="F438" s="19"/>
    </row>
    <row r="439" ht="15.75" customHeight="1">
      <c r="A439" s="19"/>
      <c r="B439" s="19"/>
      <c r="C439" s="19"/>
      <c r="D439" s="19"/>
      <c r="E439" s="19"/>
      <c r="F439" s="19"/>
    </row>
    <row r="440" ht="15.75" customHeight="1">
      <c r="A440" s="19"/>
      <c r="B440" s="19"/>
      <c r="C440" s="19"/>
      <c r="D440" s="19"/>
      <c r="E440" s="19"/>
      <c r="F440" s="19"/>
    </row>
    <row r="441" ht="15.75" customHeight="1">
      <c r="A441" s="19"/>
      <c r="B441" s="19"/>
      <c r="C441" s="19"/>
      <c r="D441" s="19"/>
      <c r="E441" s="19"/>
      <c r="F441" s="19"/>
    </row>
    <row r="442" ht="15.75" customHeight="1">
      <c r="A442" s="19"/>
      <c r="B442" s="19"/>
      <c r="C442" s="19"/>
      <c r="D442" s="19"/>
      <c r="E442" s="19"/>
      <c r="F442" s="19"/>
    </row>
    <row r="443" ht="15.75" customHeight="1">
      <c r="A443" s="19"/>
      <c r="B443" s="19"/>
      <c r="C443" s="19"/>
      <c r="D443" s="19"/>
      <c r="E443" s="19"/>
      <c r="F443" s="19"/>
    </row>
    <row r="444" ht="15.75" customHeight="1">
      <c r="A444" s="19"/>
      <c r="B444" s="19"/>
      <c r="C444" s="19"/>
      <c r="D444" s="19"/>
      <c r="E444" s="19"/>
      <c r="F444" s="19"/>
    </row>
    <row r="445" ht="15.75" customHeight="1">
      <c r="A445" s="19"/>
      <c r="B445" s="19"/>
      <c r="C445" s="19"/>
      <c r="D445" s="19"/>
      <c r="E445" s="19"/>
      <c r="F445" s="19"/>
    </row>
    <row r="446" ht="15.75" customHeight="1">
      <c r="A446" s="19"/>
      <c r="B446" s="19"/>
      <c r="C446" s="19"/>
      <c r="D446" s="19"/>
      <c r="E446" s="19"/>
      <c r="F446" s="19"/>
    </row>
    <row r="447" ht="15.75" customHeight="1">
      <c r="A447" s="19"/>
      <c r="B447" s="19"/>
      <c r="C447" s="19"/>
      <c r="D447" s="19"/>
      <c r="E447" s="19"/>
      <c r="F447" s="19"/>
    </row>
    <row r="448" ht="15.75" customHeight="1">
      <c r="A448" s="19"/>
      <c r="B448" s="19"/>
      <c r="C448" s="19"/>
      <c r="D448" s="19"/>
      <c r="E448" s="19"/>
      <c r="F448" s="19"/>
    </row>
    <row r="449" ht="15.75" customHeight="1">
      <c r="A449" s="19"/>
      <c r="B449" s="19"/>
      <c r="C449" s="19"/>
      <c r="D449" s="19"/>
      <c r="E449" s="19"/>
      <c r="F449" s="19"/>
    </row>
    <row r="450" ht="15.75" customHeight="1">
      <c r="A450" s="19"/>
      <c r="B450" s="19"/>
      <c r="C450" s="19"/>
      <c r="D450" s="19"/>
      <c r="E450" s="19"/>
      <c r="F450" s="19"/>
    </row>
    <row r="451" ht="15.75" customHeight="1">
      <c r="A451" s="19"/>
      <c r="B451" s="19"/>
      <c r="C451" s="19"/>
      <c r="D451" s="19"/>
      <c r="E451" s="19"/>
      <c r="F451" s="19"/>
    </row>
    <row r="452" ht="15.75" customHeight="1">
      <c r="A452" s="19"/>
      <c r="B452" s="19"/>
      <c r="C452" s="19"/>
      <c r="D452" s="19"/>
      <c r="E452" s="19"/>
      <c r="F452" s="19"/>
    </row>
    <row r="453" ht="15.75" customHeight="1">
      <c r="A453" s="19"/>
      <c r="B453" s="19"/>
      <c r="C453" s="19"/>
      <c r="D453" s="19"/>
      <c r="E453" s="19"/>
      <c r="F453" s="19"/>
    </row>
    <row r="454" ht="15.75" customHeight="1">
      <c r="A454" s="19"/>
      <c r="B454" s="19"/>
      <c r="C454" s="19"/>
      <c r="D454" s="19"/>
      <c r="E454" s="19"/>
      <c r="F454" s="19"/>
    </row>
    <row r="455" ht="15.75" customHeight="1">
      <c r="A455" s="19"/>
      <c r="B455" s="19"/>
      <c r="C455" s="19"/>
      <c r="D455" s="19"/>
      <c r="E455" s="19"/>
      <c r="F455" s="19"/>
    </row>
    <row r="456" ht="15.75" customHeight="1">
      <c r="A456" s="19"/>
      <c r="B456" s="19"/>
      <c r="C456" s="19"/>
      <c r="D456" s="19"/>
      <c r="E456" s="19"/>
      <c r="F456" s="19"/>
    </row>
    <row r="457" ht="15.75" customHeight="1">
      <c r="A457" s="19"/>
      <c r="B457" s="19"/>
      <c r="C457" s="19"/>
      <c r="D457" s="19"/>
      <c r="E457" s="19"/>
      <c r="F457" s="19"/>
    </row>
    <row r="458" ht="15.75" customHeight="1">
      <c r="A458" s="19"/>
      <c r="B458" s="19"/>
      <c r="C458" s="19"/>
      <c r="D458" s="19"/>
      <c r="E458" s="19"/>
      <c r="F458" s="19"/>
    </row>
    <row r="459" ht="15.75" customHeight="1">
      <c r="A459" s="19"/>
      <c r="B459" s="19"/>
      <c r="C459" s="19"/>
      <c r="D459" s="19"/>
      <c r="E459" s="19"/>
      <c r="F459" s="19"/>
    </row>
    <row r="460" ht="15.75" customHeight="1">
      <c r="A460" s="19"/>
      <c r="B460" s="19"/>
      <c r="C460" s="19"/>
      <c r="D460" s="19"/>
      <c r="E460" s="19"/>
      <c r="F460" s="19"/>
    </row>
    <row r="461" ht="15.75" customHeight="1">
      <c r="A461" s="19"/>
      <c r="B461" s="19"/>
      <c r="C461" s="19"/>
      <c r="D461" s="19"/>
      <c r="E461" s="19"/>
      <c r="F461" s="19"/>
    </row>
    <row r="462" ht="15.75" customHeight="1">
      <c r="A462" s="19"/>
      <c r="B462" s="19"/>
      <c r="C462" s="19"/>
      <c r="D462" s="19"/>
      <c r="E462" s="19"/>
      <c r="F462" s="19"/>
    </row>
    <row r="463" ht="15.75" customHeight="1">
      <c r="A463" s="19"/>
      <c r="B463" s="19"/>
      <c r="C463" s="19"/>
      <c r="D463" s="19"/>
      <c r="E463" s="19"/>
      <c r="F463" s="19"/>
    </row>
    <row r="464" ht="15.75" customHeight="1">
      <c r="A464" s="19"/>
      <c r="B464" s="19"/>
      <c r="C464" s="19"/>
      <c r="D464" s="19"/>
      <c r="E464" s="19"/>
      <c r="F464" s="19"/>
    </row>
    <row r="465" ht="15.75" customHeight="1">
      <c r="A465" s="19"/>
      <c r="B465" s="19"/>
      <c r="C465" s="19"/>
      <c r="D465" s="19"/>
      <c r="E465" s="19"/>
      <c r="F465" s="19"/>
    </row>
    <row r="466" ht="15.75" customHeight="1">
      <c r="A466" s="19"/>
      <c r="B466" s="19"/>
      <c r="C466" s="19"/>
      <c r="D466" s="19"/>
      <c r="E466" s="19"/>
      <c r="F466" s="19"/>
    </row>
    <row r="467" ht="15.75" customHeight="1">
      <c r="A467" s="19"/>
      <c r="B467" s="19"/>
      <c r="C467" s="19"/>
      <c r="D467" s="19"/>
      <c r="E467" s="19"/>
      <c r="F467" s="19"/>
    </row>
    <row r="468" ht="15.75" customHeight="1">
      <c r="A468" s="19"/>
      <c r="B468" s="19"/>
      <c r="C468" s="19"/>
      <c r="D468" s="19"/>
      <c r="E468" s="19"/>
      <c r="F468" s="19"/>
    </row>
    <row r="469" ht="15.75" customHeight="1">
      <c r="A469" s="19"/>
      <c r="B469" s="19"/>
      <c r="C469" s="19"/>
      <c r="D469" s="19"/>
      <c r="E469" s="19"/>
      <c r="F469" s="19"/>
    </row>
    <row r="470" ht="15.75" customHeight="1">
      <c r="A470" s="19"/>
      <c r="B470" s="19"/>
      <c r="C470" s="19"/>
      <c r="D470" s="19"/>
      <c r="E470" s="19"/>
      <c r="F470" s="19"/>
    </row>
    <row r="471" ht="15.75" customHeight="1">
      <c r="A471" s="19"/>
      <c r="B471" s="19"/>
      <c r="C471" s="19"/>
      <c r="D471" s="19"/>
      <c r="E471" s="19"/>
      <c r="F471" s="19"/>
    </row>
    <row r="472" ht="15.75" customHeight="1">
      <c r="A472" s="19"/>
      <c r="B472" s="19"/>
      <c r="C472" s="19"/>
      <c r="D472" s="19"/>
      <c r="E472" s="19"/>
      <c r="F472" s="19"/>
    </row>
    <row r="473" ht="15.75" customHeight="1">
      <c r="A473" s="19"/>
      <c r="B473" s="19"/>
      <c r="C473" s="19"/>
      <c r="D473" s="19"/>
      <c r="E473" s="19"/>
      <c r="F473" s="19"/>
    </row>
    <row r="474" ht="15.75" customHeight="1">
      <c r="A474" s="19"/>
      <c r="B474" s="19"/>
      <c r="C474" s="19"/>
      <c r="D474" s="19"/>
      <c r="E474" s="19"/>
      <c r="F474" s="19"/>
    </row>
    <row r="475" ht="15.75" customHeight="1">
      <c r="A475" s="19"/>
      <c r="B475" s="19"/>
      <c r="C475" s="19"/>
      <c r="D475" s="19"/>
      <c r="E475" s="19"/>
      <c r="F475" s="19"/>
    </row>
    <row r="476" ht="15.75" customHeight="1">
      <c r="A476" s="19"/>
      <c r="B476" s="19"/>
      <c r="C476" s="19"/>
      <c r="D476" s="19"/>
      <c r="E476" s="19"/>
      <c r="F476" s="19"/>
    </row>
    <row r="477" ht="15.75" customHeight="1">
      <c r="A477" s="19"/>
      <c r="B477" s="19"/>
      <c r="C477" s="19"/>
      <c r="D477" s="19"/>
      <c r="E477" s="19"/>
      <c r="F477" s="19"/>
    </row>
    <row r="478" ht="15.75" customHeight="1">
      <c r="A478" s="19"/>
      <c r="B478" s="19"/>
      <c r="C478" s="19"/>
      <c r="D478" s="19"/>
      <c r="E478" s="19"/>
      <c r="F478" s="19"/>
    </row>
    <row r="479" ht="15.75" customHeight="1">
      <c r="A479" s="19"/>
      <c r="B479" s="19"/>
      <c r="C479" s="19"/>
      <c r="D479" s="19"/>
      <c r="E479" s="19"/>
      <c r="F479" s="19"/>
    </row>
    <row r="480" ht="15.75" customHeight="1">
      <c r="A480" s="19"/>
      <c r="B480" s="19"/>
      <c r="C480" s="19"/>
      <c r="D480" s="19"/>
      <c r="E480" s="19"/>
      <c r="F480" s="19"/>
    </row>
    <row r="481" ht="15.75" customHeight="1">
      <c r="A481" s="19"/>
      <c r="B481" s="19"/>
      <c r="C481" s="19"/>
      <c r="D481" s="19"/>
      <c r="E481" s="19"/>
      <c r="F481" s="19"/>
    </row>
    <row r="482" ht="15.75" customHeight="1">
      <c r="A482" s="19"/>
      <c r="B482" s="19"/>
      <c r="C482" s="19"/>
      <c r="D482" s="19"/>
      <c r="E482" s="19"/>
      <c r="F482" s="19"/>
    </row>
    <row r="483" ht="15.75" customHeight="1">
      <c r="A483" s="19"/>
      <c r="B483" s="19"/>
      <c r="C483" s="19"/>
      <c r="D483" s="19"/>
      <c r="E483" s="19"/>
      <c r="F483" s="19"/>
    </row>
    <row r="484" ht="15.75" customHeight="1">
      <c r="A484" s="19"/>
      <c r="B484" s="19"/>
      <c r="C484" s="19"/>
      <c r="D484" s="19"/>
      <c r="E484" s="19"/>
      <c r="F484" s="19"/>
    </row>
    <row r="485" ht="15.75" customHeight="1">
      <c r="A485" s="19"/>
      <c r="B485" s="19"/>
      <c r="C485" s="19"/>
      <c r="D485" s="19"/>
      <c r="E485" s="19"/>
      <c r="F485" s="19"/>
    </row>
    <row r="486" ht="15.75" customHeight="1">
      <c r="A486" s="19"/>
      <c r="B486" s="19"/>
      <c r="C486" s="19"/>
      <c r="D486" s="19"/>
      <c r="E486" s="19"/>
      <c r="F486" s="19"/>
    </row>
    <row r="487" ht="15.75" customHeight="1">
      <c r="A487" s="19"/>
      <c r="B487" s="19"/>
      <c r="C487" s="19"/>
      <c r="D487" s="19"/>
      <c r="E487" s="19"/>
      <c r="F487" s="19"/>
    </row>
    <row r="488" ht="15.75" customHeight="1">
      <c r="A488" s="19"/>
      <c r="B488" s="19"/>
      <c r="C488" s="19"/>
      <c r="D488" s="19"/>
      <c r="E488" s="19"/>
      <c r="F488" s="19"/>
    </row>
    <row r="489" ht="15.75" customHeight="1">
      <c r="A489" s="19"/>
      <c r="B489" s="19"/>
      <c r="C489" s="19"/>
      <c r="D489" s="19"/>
      <c r="E489" s="19"/>
      <c r="F489" s="19"/>
    </row>
    <row r="490" ht="15.75" customHeight="1">
      <c r="A490" s="19"/>
      <c r="B490" s="19"/>
      <c r="C490" s="19"/>
      <c r="D490" s="19"/>
      <c r="E490" s="19"/>
      <c r="F490" s="19"/>
    </row>
    <row r="491" ht="15.75" customHeight="1">
      <c r="A491" s="19"/>
      <c r="B491" s="19"/>
      <c r="C491" s="19"/>
      <c r="D491" s="19"/>
      <c r="E491" s="19"/>
      <c r="F491" s="19"/>
    </row>
    <row r="492" ht="15.75" customHeight="1">
      <c r="A492" s="19"/>
      <c r="B492" s="19"/>
      <c r="C492" s="19"/>
      <c r="D492" s="19"/>
      <c r="E492" s="19"/>
      <c r="F492" s="19"/>
    </row>
    <row r="493" ht="15.75" customHeight="1">
      <c r="A493" s="19"/>
      <c r="B493" s="19"/>
      <c r="C493" s="19"/>
      <c r="D493" s="19"/>
      <c r="E493" s="19"/>
      <c r="F493" s="19"/>
    </row>
    <row r="494" ht="15.75" customHeight="1">
      <c r="A494" s="19"/>
      <c r="B494" s="19"/>
      <c r="C494" s="19"/>
      <c r="D494" s="19"/>
      <c r="E494" s="19"/>
      <c r="F494" s="19"/>
    </row>
    <row r="495" ht="15.75" customHeight="1">
      <c r="A495" s="19"/>
      <c r="B495" s="19"/>
      <c r="C495" s="19"/>
      <c r="D495" s="19"/>
      <c r="E495" s="19"/>
      <c r="F495" s="19"/>
    </row>
    <row r="496" ht="15.75" customHeight="1">
      <c r="A496" s="19"/>
      <c r="B496" s="19"/>
      <c r="C496" s="19"/>
      <c r="D496" s="19"/>
      <c r="E496" s="19"/>
      <c r="F496" s="19"/>
    </row>
    <row r="497" ht="15.75" customHeight="1">
      <c r="A497" s="19"/>
      <c r="B497" s="19"/>
      <c r="C497" s="19"/>
      <c r="D497" s="19"/>
      <c r="E497" s="19"/>
      <c r="F497" s="19"/>
    </row>
    <row r="498" ht="15.75" customHeight="1">
      <c r="A498" s="19"/>
      <c r="B498" s="19"/>
      <c r="C498" s="19"/>
      <c r="D498" s="19"/>
      <c r="E498" s="19"/>
      <c r="F498" s="19"/>
    </row>
    <row r="499" ht="15.75" customHeight="1">
      <c r="A499" s="19"/>
      <c r="B499" s="19"/>
      <c r="C499" s="19"/>
      <c r="D499" s="19"/>
      <c r="E499" s="19"/>
      <c r="F499" s="19"/>
    </row>
    <row r="500" ht="15.75" customHeight="1">
      <c r="A500" s="19"/>
      <c r="B500" s="19"/>
      <c r="C500" s="19"/>
      <c r="D500" s="19"/>
      <c r="E500" s="19"/>
      <c r="F500" s="19"/>
    </row>
    <row r="501" ht="15.75" customHeight="1">
      <c r="A501" s="19"/>
      <c r="B501" s="19"/>
      <c r="C501" s="19"/>
      <c r="D501" s="19"/>
      <c r="E501" s="19"/>
      <c r="F501" s="19"/>
    </row>
    <row r="502" ht="15.75" customHeight="1">
      <c r="A502" s="19"/>
      <c r="B502" s="19"/>
      <c r="C502" s="19"/>
      <c r="D502" s="19"/>
      <c r="E502" s="19"/>
      <c r="F502" s="19"/>
    </row>
    <row r="503" ht="15.75" customHeight="1">
      <c r="A503" s="19"/>
      <c r="B503" s="19"/>
      <c r="C503" s="19"/>
      <c r="D503" s="19"/>
      <c r="E503" s="19"/>
      <c r="F503" s="19"/>
    </row>
    <row r="504" ht="15.75" customHeight="1">
      <c r="A504" s="19"/>
      <c r="B504" s="19"/>
      <c r="C504" s="19"/>
      <c r="D504" s="19"/>
      <c r="E504" s="19"/>
      <c r="F504" s="19"/>
    </row>
    <row r="505" ht="15.75" customHeight="1">
      <c r="A505" s="19"/>
      <c r="B505" s="19"/>
      <c r="C505" s="19"/>
      <c r="D505" s="19"/>
      <c r="E505" s="19"/>
      <c r="F505" s="19"/>
    </row>
    <row r="506" ht="15.75" customHeight="1">
      <c r="A506" s="19"/>
      <c r="B506" s="19"/>
      <c r="C506" s="19"/>
      <c r="D506" s="19"/>
      <c r="E506" s="19"/>
      <c r="F506" s="19"/>
    </row>
    <row r="507" ht="15.75" customHeight="1">
      <c r="A507" s="19"/>
      <c r="B507" s="19"/>
      <c r="C507" s="19"/>
      <c r="D507" s="19"/>
      <c r="E507" s="19"/>
      <c r="F507" s="19"/>
    </row>
    <row r="508" ht="15.75" customHeight="1">
      <c r="A508" s="19"/>
      <c r="B508" s="19"/>
      <c r="C508" s="19"/>
      <c r="D508" s="19"/>
      <c r="E508" s="19"/>
      <c r="F508" s="19"/>
    </row>
    <row r="509" ht="15.75" customHeight="1">
      <c r="A509" s="19"/>
      <c r="B509" s="19"/>
      <c r="C509" s="19"/>
      <c r="D509" s="19"/>
      <c r="E509" s="19"/>
      <c r="F509" s="19"/>
    </row>
    <row r="510" ht="15.75" customHeight="1">
      <c r="A510" s="19"/>
      <c r="B510" s="19"/>
      <c r="C510" s="19"/>
      <c r="D510" s="19"/>
      <c r="E510" s="19"/>
      <c r="F510" s="19"/>
    </row>
    <row r="511" ht="15.75" customHeight="1">
      <c r="A511" s="19"/>
      <c r="B511" s="19"/>
      <c r="C511" s="19"/>
      <c r="D511" s="19"/>
      <c r="E511" s="19"/>
      <c r="F511" s="19"/>
    </row>
    <row r="512" ht="15.75" customHeight="1">
      <c r="A512" s="19"/>
      <c r="B512" s="19"/>
      <c r="C512" s="19"/>
      <c r="D512" s="19"/>
      <c r="E512" s="19"/>
      <c r="F512" s="19"/>
    </row>
    <row r="513" ht="15.75" customHeight="1">
      <c r="A513" s="19"/>
      <c r="B513" s="19"/>
      <c r="C513" s="19"/>
      <c r="D513" s="19"/>
      <c r="E513" s="19"/>
      <c r="F513" s="19"/>
    </row>
    <row r="514" ht="15.75" customHeight="1">
      <c r="A514" s="19"/>
      <c r="B514" s="19"/>
      <c r="C514" s="19"/>
      <c r="D514" s="19"/>
      <c r="E514" s="19"/>
      <c r="F514" s="19"/>
    </row>
    <row r="515" ht="15.75" customHeight="1">
      <c r="A515" s="19"/>
      <c r="B515" s="19"/>
      <c r="C515" s="19"/>
      <c r="D515" s="19"/>
      <c r="E515" s="19"/>
      <c r="F515" s="19"/>
    </row>
    <row r="516" ht="15.75" customHeight="1">
      <c r="A516" s="19"/>
      <c r="B516" s="19"/>
      <c r="C516" s="19"/>
      <c r="D516" s="19"/>
      <c r="E516" s="19"/>
      <c r="F516" s="19"/>
    </row>
    <row r="517" ht="15.75" customHeight="1">
      <c r="A517" s="19"/>
      <c r="B517" s="19"/>
      <c r="C517" s="19"/>
      <c r="D517" s="19"/>
      <c r="E517" s="19"/>
      <c r="F517" s="19"/>
    </row>
    <row r="518" ht="15.75" customHeight="1">
      <c r="A518" s="19"/>
      <c r="B518" s="19"/>
      <c r="C518" s="19"/>
      <c r="D518" s="19"/>
      <c r="E518" s="19"/>
      <c r="F518" s="19"/>
    </row>
    <row r="519" ht="15.75" customHeight="1">
      <c r="A519" s="19"/>
      <c r="B519" s="19"/>
      <c r="C519" s="19"/>
      <c r="D519" s="19"/>
      <c r="E519" s="19"/>
      <c r="F519" s="19"/>
    </row>
    <row r="520" ht="15.75" customHeight="1">
      <c r="A520" s="19"/>
      <c r="B520" s="19"/>
      <c r="C520" s="19"/>
      <c r="D520" s="19"/>
      <c r="E520" s="19"/>
      <c r="F520" s="19"/>
    </row>
    <row r="521" ht="15.75" customHeight="1">
      <c r="A521" s="19"/>
      <c r="B521" s="19"/>
      <c r="C521" s="19"/>
      <c r="D521" s="19"/>
      <c r="E521" s="19"/>
      <c r="F521" s="19"/>
    </row>
    <row r="522" ht="15.75" customHeight="1">
      <c r="A522" s="19"/>
      <c r="B522" s="19"/>
      <c r="C522" s="19"/>
      <c r="D522" s="19"/>
      <c r="E522" s="19"/>
      <c r="F522" s="19"/>
    </row>
    <row r="523" ht="15.75" customHeight="1">
      <c r="A523" s="19"/>
      <c r="B523" s="19"/>
      <c r="C523" s="19"/>
      <c r="D523" s="19"/>
      <c r="E523" s="19"/>
      <c r="F523" s="19"/>
    </row>
    <row r="524" ht="15.75" customHeight="1">
      <c r="A524" s="19"/>
      <c r="B524" s="19"/>
      <c r="C524" s="19"/>
      <c r="D524" s="19"/>
      <c r="E524" s="19"/>
      <c r="F524" s="19"/>
    </row>
    <row r="525" ht="15.75" customHeight="1">
      <c r="A525" s="19"/>
      <c r="B525" s="19"/>
      <c r="C525" s="19"/>
      <c r="D525" s="19"/>
      <c r="E525" s="19"/>
      <c r="F525" s="19"/>
    </row>
    <row r="526" ht="15.75" customHeight="1">
      <c r="A526" s="19"/>
      <c r="B526" s="19"/>
      <c r="C526" s="19"/>
      <c r="D526" s="19"/>
      <c r="E526" s="19"/>
      <c r="F526" s="19"/>
    </row>
    <row r="527" ht="15.75" customHeight="1">
      <c r="A527" s="19"/>
      <c r="B527" s="19"/>
      <c r="C527" s="19"/>
      <c r="D527" s="19"/>
      <c r="E527" s="19"/>
      <c r="F527" s="19"/>
    </row>
    <row r="528" ht="15.75" customHeight="1">
      <c r="A528" s="19"/>
      <c r="B528" s="19"/>
      <c r="C528" s="19"/>
      <c r="D528" s="19"/>
      <c r="E528" s="19"/>
      <c r="F528" s="19"/>
    </row>
    <row r="529" ht="15.75" customHeight="1">
      <c r="A529" s="19"/>
      <c r="B529" s="19"/>
      <c r="C529" s="19"/>
      <c r="D529" s="19"/>
      <c r="E529" s="19"/>
      <c r="F529" s="19"/>
    </row>
    <row r="530" ht="15.75" customHeight="1">
      <c r="A530" s="19"/>
      <c r="B530" s="19"/>
      <c r="C530" s="19"/>
      <c r="D530" s="19"/>
      <c r="E530" s="19"/>
      <c r="F530" s="19"/>
    </row>
    <row r="531" ht="15.75" customHeight="1">
      <c r="A531" s="19"/>
      <c r="B531" s="19"/>
      <c r="C531" s="19"/>
      <c r="D531" s="19"/>
      <c r="E531" s="19"/>
      <c r="F531" s="19"/>
    </row>
    <row r="532" ht="15.75" customHeight="1">
      <c r="A532" s="19"/>
      <c r="B532" s="19"/>
      <c r="C532" s="19"/>
      <c r="D532" s="19"/>
      <c r="E532" s="19"/>
      <c r="F532" s="19"/>
    </row>
    <row r="533" ht="15.75" customHeight="1">
      <c r="A533" s="19"/>
      <c r="B533" s="19"/>
      <c r="C533" s="19"/>
      <c r="D533" s="19"/>
      <c r="E533" s="19"/>
      <c r="F533" s="19"/>
    </row>
    <row r="534" ht="15.75" customHeight="1">
      <c r="A534" s="19"/>
      <c r="B534" s="19"/>
      <c r="C534" s="19"/>
      <c r="D534" s="19"/>
      <c r="E534" s="19"/>
      <c r="F534" s="19"/>
    </row>
    <row r="535" ht="15.75" customHeight="1">
      <c r="A535" s="19"/>
      <c r="B535" s="19"/>
      <c r="C535" s="19"/>
      <c r="D535" s="19"/>
      <c r="E535" s="19"/>
      <c r="F535" s="19"/>
    </row>
    <row r="536" ht="15.75" customHeight="1">
      <c r="A536" s="19"/>
      <c r="B536" s="19"/>
      <c r="C536" s="19"/>
      <c r="D536" s="19"/>
      <c r="E536" s="19"/>
      <c r="F536" s="19"/>
    </row>
    <row r="537" ht="15.75" customHeight="1">
      <c r="A537" s="19"/>
      <c r="B537" s="19"/>
      <c r="C537" s="19"/>
      <c r="D537" s="19"/>
      <c r="E537" s="19"/>
      <c r="F537" s="19"/>
    </row>
    <row r="538" ht="15.75" customHeight="1">
      <c r="A538" s="19"/>
      <c r="B538" s="19"/>
      <c r="C538" s="19"/>
      <c r="D538" s="19"/>
      <c r="E538" s="19"/>
      <c r="F538" s="19"/>
    </row>
    <row r="539" ht="15.75" customHeight="1">
      <c r="A539" s="19"/>
      <c r="B539" s="19"/>
      <c r="C539" s="19"/>
      <c r="D539" s="19"/>
      <c r="E539" s="19"/>
      <c r="F539" s="19"/>
    </row>
    <row r="540" ht="15.75" customHeight="1">
      <c r="A540" s="19"/>
      <c r="B540" s="19"/>
      <c r="C540" s="19"/>
      <c r="D540" s="19"/>
      <c r="E540" s="19"/>
      <c r="F540" s="19"/>
    </row>
    <row r="541" ht="15.75" customHeight="1">
      <c r="A541" s="19"/>
      <c r="B541" s="19"/>
      <c r="C541" s="19"/>
      <c r="D541" s="19"/>
      <c r="E541" s="19"/>
      <c r="F541" s="19"/>
    </row>
    <row r="542" ht="15.75" customHeight="1">
      <c r="A542" s="19"/>
      <c r="B542" s="19"/>
      <c r="C542" s="19"/>
      <c r="D542" s="19"/>
      <c r="E542" s="19"/>
      <c r="F542" s="19"/>
    </row>
    <row r="543" ht="15.75" customHeight="1">
      <c r="A543" s="19"/>
      <c r="B543" s="19"/>
      <c r="C543" s="19"/>
      <c r="D543" s="19"/>
      <c r="E543" s="19"/>
      <c r="F543" s="19"/>
    </row>
    <row r="544" ht="15.75" customHeight="1">
      <c r="A544" s="19"/>
      <c r="B544" s="19"/>
      <c r="C544" s="19"/>
      <c r="D544" s="19"/>
      <c r="E544" s="19"/>
      <c r="F544" s="19"/>
    </row>
    <row r="545" ht="15.75" customHeight="1">
      <c r="A545" s="19"/>
      <c r="B545" s="19"/>
      <c r="C545" s="19"/>
      <c r="D545" s="19"/>
      <c r="E545" s="19"/>
      <c r="F545" s="19"/>
    </row>
    <row r="546" ht="15.75" customHeight="1">
      <c r="A546" s="19"/>
      <c r="B546" s="19"/>
      <c r="C546" s="19"/>
      <c r="D546" s="19"/>
      <c r="E546" s="19"/>
      <c r="F546" s="19"/>
    </row>
    <row r="547" ht="15.75" customHeight="1">
      <c r="A547" s="19"/>
      <c r="B547" s="19"/>
      <c r="C547" s="19"/>
      <c r="D547" s="19"/>
      <c r="E547" s="19"/>
      <c r="F547" s="19"/>
    </row>
    <row r="548" ht="15.75" customHeight="1">
      <c r="A548" s="19"/>
      <c r="B548" s="19"/>
      <c r="C548" s="19"/>
      <c r="D548" s="19"/>
      <c r="E548" s="19"/>
      <c r="F548" s="19"/>
    </row>
    <row r="549" ht="15.75" customHeight="1">
      <c r="A549" s="19"/>
      <c r="B549" s="19"/>
      <c r="C549" s="19"/>
      <c r="D549" s="19"/>
      <c r="E549" s="19"/>
      <c r="F549" s="19"/>
    </row>
    <row r="550" ht="15.75" customHeight="1">
      <c r="A550" s="19"/>
      <c r="B550" s="19"/>
      <c r="C550" s="19"/>
      <c r="D550" s="19"/>
      <c r="E550" s="19"/>
      <c r="F550" s="19"/>
    </row>
    <row r="551" ht="15.75" customHeight="1">
      <c r="A551" s="19"/>
      <c r="B551" s="19"/>
      <c r="C551" s="19"/>
      <c r="D551" s="19"/>
      <c r="E551" s="19"/>
      <c r="F551" s="19"/>
    </row>
    <row r="552" ht="15.75" customHeight="1">
      <c r="A552" s="19"/>
      <c r="B552" s="19"/>
      <c r="C552" s="19"/>
      <c r="D552" s="19"/>
      <c r="E552" s="19"/>
      <c r="F552" s="19"/>
    </row>
    <row r="553" ht="15.75" customHeight="1">
      <c r="A553" s="19"/>
      <c r="B553" s="19"/>
      <c r="C553" s="19"/>
      <c r="D553" s="19"/>
      <c r="E553" s="19"/>
      <c r="F553" s="19"/>
    </row>
    <row r="554" ht="15.75" customHeight="1">
      <c r="A554" s="19"/>
      <c r="B554" s="19"/>
      <c r="C554" s="19"/>
      <c r="D554" s="19"/>
      <c r="E554" s="19"/>
      <c r="F554" s="19"/>
    </row>
    <row r="555" ht="15.75" customHeight="1">
      <c r="A555" s="19"/>
      <c r="B555" s="19"/>
      <c r="C555" s="19"/>
      <c r="D555" s="19"/>
      <c r="E555" s="19"/>
      <c r="F555" s="19"/>
    </row>
    <row r="556" ht="15.75" customHeight="1">
      <c r="A556" s="19"/>
      <c r="B556" s="19"/>
      <c r="C556" s="19"/>
      <c r="D556" s="19"/>
      <c r="E556" s="19"/>
      <c r="F556" s="19"/>
    </row>
    <row r="557" ht="15.75" customHeight="1">
      <c r="A557" s="19"/>
      <c r="B557" s="19"/>
      <c r="C557" s="19"/>
      <c r="D557" s="19"/>
      <c r="E557" s="19"/>
      <c r="F557" s="19"/>
    </row>
    <row r="558" ht="15.75" customHeight="1">
      <c r="A558" s="19"/>
      <c r="B558" s="19"/>
      <c r="C558" s="19"/>
      <c r="D558" s="19"/>
      <c r="E558" s="19"/>
      <c r="F558" s="19"/>
    </row>
    <row r="559" ht="15.75" customHeight="1">
      <c r="A559" s="19"/>
      <c r="B559" s="19"/>
      <c r="C559" s="19"/>
      <c r="D559" s="19"/>
      <c r="E559" s="19"/>
      <c r="F559" s="19"/>
    </row>
    <row r="560" ht="15.75" customHeight="1">
      <c r="A560" s="19"/>
      <c r="B560" s="19"/>
      <c r="C560" s="19"/>
      <c r="D560" s="19"/>
      <c r="E560" s="19"/>
      <c r="F560" s="19"/>
    </row>
    <row r="561" ht="15.75" customHeight="1">
      <c r="A561" s="19"/>
      <c r="B561" s="19"/>
      <c r="C561" s="19"/>
      <c r="D561" s="19"/>
      <c r="E561" s="19"/>
      <c r="F561" s="19"/>
    </row>
    <row r="562" ht="15.75" customHeight="1">
      <c r="A562" s="19"/>
      <c r="B562" s="19"/>
      <c r="C562" s="19"/>
      <c r="D562" s="19"/>
      <c r="E562" s="19"/>
      <c r="F562" s="19"/>
    </row>
    <row r="563" ht="15.75" customHeight="1">
      <c r="A563" s="19"/>
      <c r="B563" s="19"/>
      <c r="C563" s="19"/>
      <c r="D563" s="19"/>
      <c r="E563" s="19"/>
      <c r="F563" s="19"/>
    </row>
    <row r="564" ht="15.75" customHeight="1">
      <c r="A564" s="19"/>
      <c r="B564" s="19"/>
      <c r="C564" s="19"/>
      <c r="D564" s="19"/>
      <c r="E564" s="19"/>
      <c r="F564" s="19"/>
    </row>
    <row r="565" ht="15.75" customHeight="1">
      <c r="A565" s="19"/>
      <c r="B565" s="19"/>
      <c r="C565" s="19"/>
      <c r="D565" s="19"/>
      <c r="E565" s="19"/>
      <c r="F565" s="19"/>
    </row>
    <row r="566" ht="15.75" customHeight="1">
      <c r="A566" s="19"/>
      <c r="B566" s="19"/>
      <c r="C566" s="19"/>
      <c r="D566" s="19"/>
      <c r="E566" s="19"/>
      <c r="F566" s="19"/>
    </row>
    <row r="567" ht="15.75" customHeight="1">
      <c r="A567" s="19"/>
      <c r="B567" s="19"/>
      <c r="C567" s="19"/>
      <c r="D567" s="19"/>
      <c r="E567" s="19"/>
      <c r="F567" s="19"/>
    </row>
    <row r="568" ht="15.75" customHeight="1">
      <c r="A568" s="19"/>
      <c r="B568" s="19"/>
      <c r="C568" s="19"/>
      <c r="D568" s="19"/>
      <c r="E568" s="19"/>
      <c r="F568" s="19"/>
    </row>
    <row r="569" ht="15.75" customHeight="1">
      <c r="A569" s="19"/>
      <c r="B569" s="19"/>
      <c r="C569" s="19"/>
      <c r="D569" s="19"/>
      <c r="E569" s="19"/>
      <c r="F569" s="19"/>
    </row>
    <row r="570" ht="15.75" customHeight="1">
      <c r="A570" s="19"/>
      <c r="B570" s="19"/>
      <c r="C570" s="19"/>
      <c r="D570" s="19"/>
      <c r="E570" s="19"/>
      <c r="F570" s="19"/>
    </row>
    <row r="571" ht="15.75" customHeight="1">
      <c r="A571" s="19"/>
      <c r="B571" s="19"/>
      <c r="C571" s="19"/>
      <c r="D571" s="19"/>
      <c r="E571" s="19"/>
      <c r="F571" s="19"/>
    </row>
    <row r="572" ht="15.75" customHeight="1">
      <c r="A572" s="19"/>
      <c r="B572" s="19"/>
      <c r="C572" s="19"/>
      <c r="D572" s="19"/>
      <c r="E572" s="19"/>
      <c r="F572" s="19"/>
    </row>
    <row r="573" ht="15.75" customHeight="1">
      <c r="A573" s="19"/>
      <c r="B573" s="19"/>
      <c r="C573" s="19"/>
      <c r="D573" s="19"/>
      <c r="E573" s="19"/>
      <c r="F573" s="19"/>
    </row>
    <row r="574" ht="15.75" customHeight="1">
      <c r="A574" s="19"/>
      <c r="B574" s="19"/>
      <c r="C574" s="19"/>
      <c r="D574" s="19"/>
      <c r="E574" s="19"/>
      <c r="F574" s="19"/>
    </row>
    <row r="575" ht="15.75" customHeight="1">
      <c r="A575" s="19"/>
      <c r="B575" s="19"/>
      <c r="C575" s="19"/>
      <c r="D575" s="19"/>
      <c r="E575" s="19"/>
      <c r="F575" s="19"/>
    </row>
    <row r="576" ht="15.75" customHeight="1">
      <c r="A576" s="19"/>
      <c r="B576" s="19"/>
      <c r="C576" s="19"/>
      <c r="D576" s="19"/>
      <c r="E576" s="19"/>
      <c r="F576" s="19"/>
    </row>
    <row r="577" ht="15.75" customHeight="1">
      <c r="A577" s="19"/>
      <c r="B577" s="19"/>
      <c r="C577" s="19"/>
      <c r="D577" s="19"/>
      <c r="E577" s="19"/>
      <c r="F577" s="19"/>
    </row>
    <row r="578" ht="15.75" customHeight="1">
      <c r="A578" s="19"/>
      <c r="B578" s="19"/>
      <c r="C578" s="19"/>
      <c r="D578" s="19"/>
      <c r="E578" s="19"/>
      <c r="F578" s="19"/>
    </row>
    <row r="579" ht="15.75" customHeight="1">
      <c r="A579" s="19"/>
      <c r="B579" s="19"/>
      <c r="C579" s="19"/>
      <c r="D579" s="19"/>
      <c r="E579" s="19"/>
      <c r="F579" s="19"/>
    </row>
    <row r="580" ht="15.75" customHeight="1">
      <c r="A580" s="19"/>
      <c r="B580" s="19"/>
      <c r="C580" s="19"/>
      <c r="D580" s="19"/>
      <c r="E580" s="19"/>
      <c r="F580" s="19"/>
    </row>
    <row r="581" ht="15.75" customHeight="1">
      <c r="A581" s="19"/>
      <c r="B581" s="19"/>
      <c r="C581" s="19"/>
      <c r="D581" s="19"/>
      <c r="E581" s="19"/>
      <c r="F581" s="19"/>
    </row>
    <row r="582" ht="15.75" customHeight="1">
      <c r="A582" s="19"/>
      <c r="B582" s="19"/>
      <c r="C582" s="19"/>
      <c r="D582" s="19"/>
      <c r="E582" s="19"/>
      <c r="F582" s="19"/>
    </row>
    <row r="583" ht="15.75" customHeight="1">
      <c r="A583" s="19"/>
      <c r="B583" s="19"/>
      <c r="C583" s="19"/>
      <c r="D583" s="19"/>
      <c r="E583" s="19"/>
      <c r="F583" s="19"/>
    </row>
    <row r="584" ht="15.75" customHeight="1">
      <c r="A584" s="19"/>
      <c r="B584" s="19"/>
      <c r="C584" s="19"/>
      <c r="D584" s="19"/>
      <c r="E584" s="19"/>
      <c r="F584" s="19"/>
    </row>
    <row r="585" ht="15.75" customHeight="1">
      <c r="A585" s="19"/>
      <c r="B585" s="19"/>
      <c r="C585" s="19"/>
      <c r="D585" s="19"/>
      <c r="E585" s="19"/>
      <c r="F585" s="19"/>
    </row>
    <row r="586" ht="15.75" customHeight="1">
      <c r="A586" s="19"/>
      <c r="B586" s="19"/>
      <c r="C586" s="19"/>
      <c r="D586" s="19"/>
      <c r="E586" s="19"/>
      <c r="F586" s="19"/>
    </row>
    <row r="587" ht="15.75" customHeight="1">
      <c r="A587" s="19"/>
      <c r="B587" s="19"/>
      <c r="C587" s="19"/>
      <c r="D587" s="19"/>
      <c r="E587" s="19"/>
      <c r="F587" s="19"/>
    </row>
    <row r="588" ht="15.75" customHeight="1">
      <c r="A588" s="19"/>
      <c r="B588" s="19"/>
      <c r="C588" s="19"/>
      <c r="D588" s="19"/>
      <c r="E588" s="19"/>
      <c r="F588" s="19"/>
    </row>
    <row r="589" ht="15.75" customHeight="1">
      <c r="A589" s="19"/>
      <c r="B589" s="19"/>
      <c r="C589" s="19"/>
      <c r="D589" s="19"/>
      <c r="E589" s="19"/>
      <c r="F589" s="19"/>
    </row>
    <row r="590" ht="15.75" customHeight="1">
      <c r="A590" s="19"/>
      <c r="B590" s="19"/>
      <c r="C590" s="19"/>
      <c r="D590" s="19"/>
      <c r="E590" s="19"/>
      <c r="F590" s="19"/>
    </row>
    <row r="591" ht="15.75" customHeight="1">
      <c r="A591" s="19"/>
      <c r="B591" s="19"/>
      <c r="C591" s="19"/>
      <c r="D591" s="19"/>
      <c r="E591" s="19"/>
      <c r="F591" s="19"/>
    </row>
    <row r="592" ht="15.75" customHeight="1">
      <c r="A592" s="19"/>
      <c r="B592" s="19"/>
      <c r="C592" s="19"/>
      <c r="D592" s="19"/>
      <c r="E592" s="19"/>
      <c r="F592" s="19"/>
    </row>
    <row r="593" ht="15.75" customHeight="1">
      <c r="A593" s="19"/>
      <c r="B593" s="19"/>
      <c r="C593" s="19"/>
      <c r="D593" s="19"/>
      <c r="E593" s="19"/>
      <c r="F593" s="19"/>
    </row>
    <row r="594" ht="15.75" customHeight="1">
      <c r="A594" s="19"/>
      <c r="B594" s="19"/>
      <c r="C594" s="19"/>
      <c r="D594" s="19"/>
      <c r="E594" s="19"/>
      <c r="F594" s="19"/>
    </row>
    <row r="595" ht="15.75" customHeight="1">
      <c r="A595" s="19"/>
      <c r="B595" s="19"/>
      <c r="C595" s="19"/>
      <c r="D595" s="19"/>
      <c r="E595" s="19"/>
      <c r="F595" s="19"/>
    </row>
    <row r="596" ht="15.75" customHeight="1">
      <c r="A596" s="19"/>
      <c r="B596" s="19"/>
      <c r="C596" s="19"/>
      <c r="D596" s="19"/>
      <c r="E596" s="19"/>
      <c r="F596" s="19"/>
    </row>
    <row r="597" ht="15.75" customHeight="1">
      <c r="A597" s="19"/>
      <c r="B597" s="19"/>
      <c r="C597" s="19"/>
      <c r="D597" s="19"/>
      <c r="E597" s="19"/>
      <c r="F597" s="19"/>
    </row>
    <row r="598" ht="15.75" customHeight="1">
      <c r="A598" s="19"/>
      <c r="B598" s="19"/>
      <c r="C598" s="19"/>
      <c r="D598" s="19"/>
      <c r="E598" s="19"/>
      <c r="F598" s="19"/>
    </row>
    <row r="599" ht="15.75" customHeight="1">
      <c r="A599" s="19"/>
      <c r="B599" s="19"/>
      <c r="C599" s="19"/>
      <c r="D599" s="19"/>
      <c r="E599" s="19"/>
      <c r="F599" s="19"/>
    </row>
    <row r="600" ht="15.75" customHeight="1">
      <c r="A600" s="19"/>
      <c r="B600" s="19"/>
      <c r="C600" s="19"/>
      <c r="D600" s="19"/>
      <c r="E600" s="19"/>
      <c r="F600" s="19"/>
    </row>
    <row r="601" ht="15.75" customHeight="1">
      <c r="A601" s="19"/>
      <c r="B601" s="19"/>
      <c r="C601" s="19"/>
      <c r="D601" s="19"/>
      <c r="E601" s="19"/>
      <c r="F601" s="19"/>
    </row>
    <row r="602" ht="15.75" customHeight="1">
      <c r="A602" s="19"/>
      <c r="B602" s="19"/>
      <c r="C602" s="19"/>
      <c r="D602" s="19"/>
      <c r="E602" s="19"/>
      <c r="F602" s="19"/>
    </row>
    <row r="603" ht="15.75" customHeight="1">
      <c r="A603" s="19"/>
      <c r="B603" s="19"/>
      <c r="C603" s="19"/>
      <c r="D603" s="19"/>
      <c r="E603" s="19"/>
      <c r="F603" s="19"/>
    </row>
    <row r="604" ht="15.75" customHeight="1">
      <c r="A604" s="19"/>
      <c r="B604" s="19"/>
      <c r="C604" s="19"/>
      <c r="D604" s="19"/>
      <c r="E604" s="19"/>
      <c r="F604" s="19"/>
    </row>
    <row r="605" ht="15.75" customHeight="1">
      <c r="A605" s="19"/>
      <c r="B605" s="19"/>
      <c r="C605" s="19"/>
      <c r="D605" s="19"/>
      <c r="E605" s="19"/>
      <c r="F605" s="19"/>
    </row>
    <row r="606" ht="15.75" customHeight="1">
      <c r="A606" s="19"/>
      <c r="B606" s="19"/>
      <c r="C606" s="19"/>
      <c r="D606" s="19"/>
      <c r="E606" s="19"/>
      <c r="F606" s="19"/>
    </row>
    <row r="607" ht="15.75" customHeight="1">
      <c r="A607" s="19"/>
      <c r="B607" s="19"/>
      <c r="C607" s="19"/>
      <c r="D607" s="19"/>
      <c r="E607" s="19"/>
      <c r="F607" s="19"/>
    </row>
    <row r="608" ht="15.75" customHeight="1">
      <c r="A608" s="19"/>
      <c r="B608" s="19"/>
      <c r="C608" s="19"/>
      <c r="D608" s="19"/>
      <c r="E608" s="19"/>
      <c r="F608" s="19"/>
    </row>
    <row r="609" ht="15.75" customHeight="1">
      <c r="A609" s="19"/>
      <c r="B609" s="19"/>
      <c r="C609" s="19"/>
      <c r="D609" s="19"/>
      <c r="E609" s="19"/>
      <c r="F609" s="19"/>
    </row>
    <row r="610" ht="15.75" customHeight="1">
      <c r="A610" s="19"/>
      <c r="B610" s="19"/>
      <c r="C610" s="19"/>
      <c r="D610" s="19"/>
      <c r="E610" s="19"/>
      <c r="F610" s="19"/>
    </row>
    <row r="611" ht="15.75" customHeight="1">
      <c r="A611" s="19"/>
      <c r="B611" s="19"/>
      <c r="C611" s="19"/>
      <c r="D611" s="19"/>
      <c r="E611" s="19"/>
      <c r="F611" s="19"/>
    </row>
    <row r="612" ht="15.75" customHeight="1">
      <c r="A612" s="19"/>
      <c r="B612" s="19"/>
      <c r="C612" s="19"/>
      <c r="D612" s="19"/>
      <c r="E612" s="19"/>
      <c r="F612" s="19"/>
    </row>
    <row r="613" ht="15.75" customHeight="1">
      <c r="A613" s="19"/>
      <c r="B613" s="19"/>
      <c r="C613" s="19"/>
      <c r="D613" s="19"/>
      <c r="E613" s="19"/>
      <c r="F613" s="19"/>
    </row>
    <row r="614" ht="15.75" customHeight="1">
      <c r="A614" s="19"/>
      <c r="B614" s="19"/>
      <c r="C614" s="19"/>
      <c r="D614" s="19"/>
      <c r="E614" s="19"/>
      <c r="F614" s="19"/>
    </row>
    <row r="615" ht="15.75" customHeight="1">
      <c r="A615" s="19"/>
      <c r="B615" s="19"/>
      <c r="C615" s="19"/>
      <c r="D615" s="19"/>
      <c r="E615" s="19"/>
      <c r="F615" s="19"/>
    </row>
    <row r="616" ht="15.75" customHeight="1">
      <c r="A616" s="19"/>
      <c r="B616" s="19"/>
      <c r="C616" s="19"/>
      <c r="D616" s="19"/>
      <c r="E616" s="19"/>
      <c r="F616" s="19"/>
    </row>
    <row r="617" ht="15.75" customHeight="1">
      <c r="A617" s="19"/>
      <c r="B617" s="19"/>
      <c r="C617" s="19"/>
      <c r="D617" s="19"/>
      <c r="E617" s="19"/>
      <c r="F617" s="19"/>
    </row>
    <row r="618" ht="15.75" customHeight="1">
      <c r="A618" s="19"/>
      <c r="B618" s="19"/>
      <c r="C618" s="19"/>
      <c r="D618" s="19"/>
      <c r="E618" s="19"/>
      <c r="F618" s="19"/>
    </row>
    <row r="619" ht="15.75" customHeight="1">
      <c r="A619" s="19"/>
      <c r="B619" s="19"/>
      <c r="C619" s="19"/>
      <c r="D619" s="19"/>
      <c r="E619" s="19"/>
      <c r="F619" s="19"/>
    </row>
    <row r="620" ht="15.75" customHeight="1">
      <c r="A620" s="19"/>
      <c r="B620" s="19"/>
      <c r="C620" s="19"/>
      <c r="D620" s="19"/>
      <c r="E620" s="19"/>
      <c r="F620" s="19"/>
    </row>
    <row r="621" ht="15.75" customHeight="1">
      <c r="A621" s="19"/>
      <c r="B621" s="19"/>
      <c r="C621" s="19"/>
      <c r="D621" s="19"/>
      <c r="E621" s="19"/>
      <c r="F621" s="19"/>
    </row>
    <row r="622" ht="15.75" customHeight="1">
      <c r="A622" s="19"/>
      <c r="B622" s="19"/>
      <c r="C622" s="19"/>
      <c r="D622" s="19"/>
      <c r="E622" s="19"/>
      <c r="F622" s="19"/>
    </row>
    <row r="623" ht="15.75" customHeight="1">
      <c r="A623" s="19"/>
      <c r="B623" s="19"/>
      <c r="C623" s="19"/>
      <c r="D623" s="19"/>
      <c r="E623" s="19"/>
      <c r="F623" s="19"/>
    </row>
    <row r="624" ht="15.75" customHeight="1">
      <c r="A624" s="19"/>
      <c r="B624" s="19"/>
      <c r="C624" s="19"/>
      <c r="D624" s="19"/>
      <c r="E624" s="19"/>
      <c r="F624" s="19"/>
    </row>
    <row r="625" ht="15.75" customHeight="1">
      <c r="A625" s="19"/>
      <c r="B625" s="19"/>
      <c r="C625" s="19"/>
      <c r="D625" s="19"/>
      <c r="E625" s="19"/>
      <c r="F625" s="19"/>
    </row>
    <row r="626" ht="15.75" customHeight="1">
      <c r="A626" s="19"/>
      <c r="B626" s="19"/>
      <c r="C626" s="19"/>
      <c r="D626" s="19"/>
      <c r="E626" s="19"/>
      <c r="F626" s="19"/>
    </row>
    <row r="627" ht="15.75" customHeight="1">
      <c r="A627" s="19"/>
      <c r="B627" s="19"/>
      <c r="C627" s="19"/>
      <c r="D627" s="19"/>
      <c r="E627" s="19"/>
      <c r="F627" s="19"/>
    </row>
    <row r="628" ht="15.75" customHeight="1">
      <c r="A628" s="19"/>
      <c r="B628" s="19"/>
      <c r="C628" s="19"/>
      <c r="D628" s="19"/>
      <c r="E628" s="19"/>
      <c r="F628" s="19"/>
    </row>
    <row r="629" ht="15.75" customHeight="1">
      <c r="A629" s="19"/>
      <c r="B629" s="19"/>
      <c r="C629" s="19"/>
      <c r="D629" s="19"/>
      <c r="E629" s="19"/>
      <c r="F629" s="19"/>
    </row>
    <row r="630" ht="15.75" customHeight="1">
      <c r="A630" s="19"/>
      <c r="B630" s="19"/>
      <c r="C630" s="19"/>
      <c r="D630" s="19"/>
      <c r="E630" s="19"/>
      <c r="F630" s="19"/>
    </row>
    <row r="631" ht="15.75" customHeight="1">
      <c r="A631" s="19"/>
      <c r="B631" s="19"/>
      <c r="C631" s="19"/>
      <c r="D631" s="19"/>
      <c r="E631" s="19"/>
      <c r="F631" s="19"/>
    </row>
    <row r="632" ht="15.75" customHeight="1">
      <c r="A632" s="19"/>
      <c r="B632" s="19"/>
      <c r="C632" s="19"/>
      <c r="D632" s="19"/>
      <c r="E632" s="19"/>
      <c r="F632" s="19"/>
    </row>
    <row r="633" ht="15.75" customHeight="1">
      <c r="A633" s="19"/>
      <c r="B633" s="19"/>
      <c r="C633" s="19"/>
      <c r="D633" s="19"/>
      <c r="E633" s="19"/>
      <c r="F633" s="19"/>
    </row>
    <row r="634" ht="15.75" customHeight="1">
      <c r="A634" s="19"/>
      <c r="B634" s="19"/>
      <c r="C634" s="19"/>
      <c r="D634" s="19"/>
      <c r="E634" s="19"/>
      <c r="F634" s="19"/>
    </row>
    <row r="635" ht="15.75" customHeight="1">
      <c r="A635" s="19"/>
      <c r="B635" s="19"/>
      <c r="C635" s="19"/>
      <c r="D635" s="19"/>
      <c r="E635" s="19"/>
      <c r="F635" s="19"/>
    </row>
    <row r="636" ht="15.75" customHeight="1">
      <c r="A636" s="19"/>
      <c r="B636" s="19"/>
      <c r="C636" s="19"/>
      <c r="D636" s="19"/>
      <c r="E636" s="19"/>
      <c r="F636" s="19"/>
    </row>
    <row r="637" ht="15.75" customHeight="1">
      <c r="A637" s="19"/>
      <c r="B637" s="19"/>
      <c r="C637" s="19"/>
      <c r="D637" s="19"/>
      <c r="E637" s="19"/>
      <c r="F637" s="19"/>
    </row>
    <row r="638" ht="15.75" customHeight="1">
      <c r="A638" s="19"/>
      <c r="B638" s="19"/>
      <c r="C638" s="19"/>
      <c r="D638" s="19"/>
      <c r="E638" s="19"/>
      <c r="F638" s="19"/>
    </row>
    <row r="639" ht="15.75" customHeight="1">
      <c r="A639" s="19"/>
      <c r="B639" s="19"/>
      <c r="C639" s="19"/>
      <c r="D639" s="19"/>
      <c r="E639" s="19"/>
      <c r="F639" s="19"/>
    </row>
    <row r="640" ht="15.75" customHeight="1">
      <c r="A640" s="19"/>
      <c r="B640" s="19"/>
      <c r="C640" s="19"/>
      <c r="D640" s="19"/>
      <c r="E640" s="19"/>
      <c r="F640" s="19"/>
    </row>
    <row r="641" ht="15.75" customHeight="1">
      <c r="A641" s="19"/>
      <c r="B641" s="19"/>
      <c r="C641" s="19"/>
      <c r="D641" s="19"/>
      <c r="E641" s="19"/>
      <c r="F641" s="19"/>
    </row>
    <row r="642" ht="15.75" customHeight="1">
      <c r="A642" s="19"/>
      <c r="B642" s="19"/>
      <c r="C642" s="19"/>
      <c r="D642" s="19"/>
      <c r="E642" s="19"/>
      <c r="F642" s="19"/>
    </row>
    <row r="643" ht="15.75" customHeight="1">
      <c r="A643" s="19"/>
      <c r="B643" s="19"/>
      <c r="C643" s="19"/>
      <c r="D643" s="19"/>
      <c r="E643" s="19"/>
      <c r="F643" s="19"/>
    </row>
    <row r="644" ht="15.75" customHeight="1">
      <c r="A644" s="19"/>
      <c r="B644" s="19"/>
      <c r="C644" s="19"/>
      <c r="D644" s="19"/>
      <c r="E644" s="19"/>
      <c r="F644" s="19"/>
    </row>
    <row r="645" ht="15.75" customHeight="1">
      <c r="A645" s="19"/>
      <c r="B645" s="19"/>
      <c r="C645" s="19"/>
      <c r="D645" s="19"/>
      <c r="E645" s="19"/>
      <c r="F645" s="19"/>
    </row>
    <row r="646" ht="15.75" customHeight="1">
      <c r="A646" s="19"/>
      <c r="B646" s="19"/>
      <c r="C646" s="19"/>
      <c r="D646" s="19"/>
      <c r="E646" s="19"/>
      <c r="F646" s="19"/>
    </row>
    <row r="647" ht="15.75" customHeight="1">
      <c r="A647" s="19"/>
      <c r="B647" s="19"/>
      <c r="C647" s="19"/>
      <c r="D647" s="19"/>
      <c r="E647" s="19"/>
      <c r="F647" s="19"/>
    </row>
    <row r="648" ht="15.75" customHeight="1">
      <c r="A648" s="19"/>
      <c r="B648" s="19"/>
      <c r="C648" s="19"/>
      <c r="D648" s="19"/>
      <c r="E648" s="19"/>
      <c r="F648" s="19"/>
    </row>
    <row r="649" ht="15.75" customHeight="1">
      <c r="A649" s="19"/>
      <c r="B649" s="19"/>
      <c r="C649" s="19"/>
      <c r="D649" s="19"/>
      <c r="E649" s="19"/>
      <c r="F649" s="19"/>
    </row>
    <row r="650" ht="15.75" customHeight="1">
      <c r="A650" s="19"/>
      <c r="B650" s="19"/>
      <c r="C650" s="19"/>
      <c r="D650" s="19"/>
      <c r="E650" s="19"/>
      <c r="F650" s="19"/>
    </row>
    <row r="651" ht="15.75" customHeight="1">
      <c r="A651" s="19"/>
      <c r="B651" s="19"/>
      <c r="C651" s="19"/>
      <c r="D651" s="19"/>
      <c r="E651" s="19"/>
      <c r="F651" s="19"/>
    </row>
    <row r="652" ht="15.75" customHeight="1">
      <c r="A652" s="19"/>
      <c r="B652" s="19"/>
      <c r="C652" s="19"/>
      <c r="D652" s="19"/>
      <c r="E652" s="19"/>
      <c r="F652" s="19"/>
    </row>
    <row r="653" ht="15.75" customHeight="1">
      <c r="A653" s="19"/>
      <c r="B653" s="19"/>
      <c r="C653" s="19"/>
      <c r="D653" s="19"/>
      <c r="E653" s="19"/>
      <c r="F653" s="19"/>
    </row>
    <row r="654" ht="15.75" customHeight="1">
      <c r="A654" s="19"/>
      <c r="B654" s="19"/>
      <c r="C654" s="19"/>
      <c r="D654" s="19"/>
      <c r="E654" s="19"/>
      <c r="F654" s="19"/>
    </row>
    <row r="655" ht="15.75" customHeight="1">
      <c r="A655" s="19"/>
      <c r="B655" s="19"/>
      <c r="C655" s="19"/>
      <c r="D655" s="19"/>
      <c r="E655" s="19"/>
      <c r="F655" s="19"/>
    </row>
    <row r="656" ht="15.75" customHeight="1">
      <c r="A656" s="19"/>
      <c r="B656" s="19"/>
      <c r="C656" s="19"/>
      <c r="D656" s="19"/>
      <c r="E656" s="19"/>
      <c r="F656" s="19"/>
    </row>
    <row r="657" ht="15.75" customHeight="1">
      <c r="A657" s="19"/>
      <c r="B657" s="19"/>
      <c r="C657" s="19"/>
      <c r="D657" s="19"/>
      <c r="E657" s="19"/>
      <c r="F657" s="19"/>
    </row>
    <row r="658" ht="15.75" customHeight="1">
      <c r="A658" s="19"/>
      <c r="B658" s="19"/>
      <c r="C658" s="19"/>
      <c r="D658" s="19"/>
      <c r="E658" s="19"/>
      <c r="F658" s="19"/>
    </row>
    <row r="659" ht="15.75" customHeight="1">
      <c r="A659" s="19"/>
      <c r="B659" s="19"/>
      <c r="C659" s="19"/>
      <c r="D659" s="19"/>
      <c r="E659" s="19"/>
      <c r="F659" s="19"/>
    </row>
    <row r="660" ht="15.75" customHeight="1">
      <c r="A660" s="19"/>
      <c r="B660" s="19"/>
      <c r="C660" s="19"/>
      <c r="D660" s="19"/>
      <c r="E660" s="19"/>
      <c r="F660" s="19"/>
    </row>
    <row r="661" ht="15.75" customHeight="1">
      <c r="A661" s="19"/>
      <c r="B661" s="19"/>
      <c r="C661" s="19"/>
      <c r="D661" s="19"/>
      <c r="E661" s="19"/>
      <c r="F661" s="19"/>
    </row>
    <row r="662" ht="15.75" customHeight="1">
      <c r="A662" s="19"/>
      <c r="B662" s="19"/>
      <c r="C662" s="19"/>
      <c r="D662" s="19"/>
      <c r="E662" s="19"/>
      <c r="F662" s="19"/>
    </row>
    <row r="663" ht="15.75" customHeight="1">
      <c r="A663" s="19"/>
      <c r="B663" s="19"/>
      <c r="C663" s="19"/>
      <c r="D663" s="19"/>
      <c r="E663" s="19"/>
      <c r="F663" s="19"/>
    </row>
    <row r="664" ht="15.75" customHeight="1">
      <c r="A664" s="19"/>
      <c r="B664" s="19"/>
      <c r="C664" s="19"/>
      <c r="D664" s="19"/>
      <c r="E664" s="19"/>
      <c r="F664" s="19"/>
    </row>
    <row r="665" ht="15.75" customHeight="1">
      <c r="A665" s="19"/>
      <c r="B665" s="19"/>
      <c r="C665" s="19"/>
      <c r="D665" s="19"/>
      <c r="E665" s="19"/>
      <c r="F665" s="19"/>
    </row>
    <row r="666" ht="15.75" customHeight="1">
      <c r="A666" s="19"/>
      <c r="B666" s="19"/>
      <c r="C666" s="19"/>
      <c r="D666" s="19"/>
      <c r="E666" s="19"/>
      <c r="F666" s="19"/>
    </row>
    <row r="667" ht="15.75" customHeight="1">
      <c r="A667" s="19"/>
      <c r="B667" s="19"/>
      <c r="C667" s="19"/>
      <c r="D667" s="19"/>
      <c r="E667" s="19"/>
      <c r="F667" s="19"/>
    </row>
    <row r="668" ht="15.75" customHeight="1">
      <c r="A668" s="19"/>
      <c r="B668" s="19"/>
      <c r="C668" s="19"/>
      <c r="D668" s="19"/>
      <c r="E668" s="19"/>
      <c r="F668" s="19"/>
    </row>
    <row r="669" ht="15.75" customHeight="1">
      <c r="A669" s="19"/>
      <c r="B669" s="19"/>
      <c r="C669" s="19"/>
      <c r="D669" s="19"/>
      <c r="E669" s="19"/>
      <c r="F669" s="19"/>
    </row>
    <row r="670" ht="15.75" customHeight="1">
      <c r="A670" s="19"/>
      <c r="B670" s="19"/>
      <c r="C670" s="19"/>
      <c r="D670" s="19"/>
      <c r="E670" s="19"/>
      <c r="F670" s="19"/>
    </row>
    <row r="671" ht="15.75" customHeight="1">
      <c r="A671" s="19"/>
      <c r="B671" s="19"/>
      <c r="C671" s="19"/>
      <c r="D671" s="19"/>
      <c r="E671" s="19"/>
      <c r="F671" s="19"/>
    </row>
    <row r="672" ht="15.75" customHeight="1">
      <c r="A672" s="19"/>
      <c r="B672" s="19"/>
      <c r="C672" s="19"/>
      <c r="D672" s="19"/>
      <c r="E672" s="19"/>
      <c r="F672" s="19"/>
    </row>
    <row r="673" ht="15.75" customHeight="1">
      <c r="A673" s="19"/>
      <c r="B673" s="19"/>
      <c r="C673" s="19"/>
      <c r="D673" s="19"/>
      <c r="E673" s="19"/>
      <c r="F673" s="19"/>
    </row>
    <row r="674" ht="15.75" customHeight="1">
      <c r="A674" s="19"/>
      <c r="B674" s="19"/>
      <c r="C674" s="19"/>
      <c r="D674" s="19"/>
      <c r="E674" s="19"/>
      <c r="F674" s="19"/>
    </row>
    <row r="675" ht="15.75" customHeight="1">
      <c r="A675" s="19"/>
      <c r="B675" s="19"/>
      <c r="C675" s="19"/>
      <c r="D675" s="19"/>
      <c r="E675" s="19"/>
      <c r="F675" s="19"/>
    </row>
    <row r="676" ht="15.75" customHeight="1">
      <c r="A676" s="19"/>
      <c r="B676" s="19"/>
      <c r="C676" s="19"/>
      <c r="D676" s="19"/>
      <c r="E676" s="19"/>
      <c r="F676" s="19"/>
    </row>
    <row r="677" ht="15.75" customHeight="1">
      <c r="A677" s="19"/>
      <c r="B677" s="19"/>
      <c r="C677" s="19"/>
      <c r="D677" s="19"/>
      <c r="E677" s="19"/>
      <c r="F677" s="19"/>
    </row>
    <row r="678" ht="15.75" customHeight="1">
      <c r="A678" s="19"/>
      <c r="B678" s="19"/>
      <c r="C678" s="19"/>
      <c r="D678" s="19"/>
      <c r="E678" s="19"/>
      <c r="F678" s="19"/>
    </row>
    <row r="679" ht="15.75" customHeight="1">
      <c r="A679" s="19"/>
      <c r="B679" s="19"/>
      <c r="C679" s="19"/>
      <c r="D679" s="19"/>
      <c r="E679" s="19"/>
      <c r="F679" s="19"/>
    </row>
    <row r="680" ht="15.75" customHeight="1">
      <c r="A680" s="19"/>
      <c r="B680" s="19"/>
      <c r="C680" s="19"/>
      <c r="D680" s="19"/>
      <c r="E680" s="19"/>
      <c r="F680" s="19"/>
    </row>
    <row r="681" ht="15.75" customHeight="1">
      <c r="A681" s="19"/>
      <c r="B681" s="19"/>
      <c r="C681" s="19"/>
      <c r="D681" s="19"/>
      <c r="E681" s="19"/>
      <c r="F681" s="19"/>
    </row>
    <row r="682" ht="15.75" customHeight="1">
      <c r="A682" s="19"/>
      <c r="B682" s="19"/>
      <c r="C682" s="19"/>
      <c r="D682" s="19"/>
      <c r="E682" s="19"/>
      <c r="F682" s="19"/>
    </row>
    <row r="683" ht="15.75" customHeight="1">
      <c r="A683" s="19"/>
      <c r="B683" s="19"/>
      <c r="C683" s="19"/>
      <c r="D683" s="19"/>
      <c r="E683" s="19"/>
      <c r="F683" s="19"/>
    </row>
    <row r="684" ht="15.75" customHeight="1">
      <c r="A684" s="19"/>
      <c r="B684" s="19"/>
      <c r="C684" s="19"/>
      <c r="D684" s="19"/>
      <c r="E684" s="19"/>
      <c r="F684" s="19"/>
    </row>
    <row r="685" ht="15.75" customHeight="1">
      <c r="A685" s="19"/>
      <c r="B685" s="19"/>
      <c r="C685" s="19"/>
      <c r="D685" s="19"/>
      <c r="E685" s="19"/>
      <c r="F685" s="19"/>
    </row>
    <row r="686" ht="15.75" customHeight="1">
      <c r="A686" s="19"/>
      <c r="B686" s="19"/>
      <c r="C686" s="19"/>
      <c r="D686" s="19"/>
      <c r="E686" s="19"/>
      <c r="F686" s="19"/>
    </row>
    <row r="687" ht="15.75" customHeight="1">
      <c r="A687" s="19"/>
      <c r="B687" s="19"/>
      <c r="C687" s="19"/>
      <c r="D687" s="19"/>
      <c r="E687" s="19"/>
      <c r="F687" s="19"/>
    </row>
    <row r="688" ht="15.75" customHeight="1">
      <c r="A688" s="19"/>
      <c r="B688" s="19"/>
      <c r="C688" s="19"/>
      <c r="D688" s="19"/>
      <c r="E688" s="19"/>
      <c r="F688" s="19"/>
    </row>
    <row r="689" ht="15.75" customHeight="1">
      <c r="A689" s="19"/>
      <c r="B689" s="19"/>
      <c r="C689" s="19"/>
      <c r="D689" s="19"/>
      <c r="E689" s="19"/>
      <c r="F689" s="19"/>
    </row>
    <row r="690" ht="15.75" customHeight="1">
      <c r="A690" s="19"/>
      <c r="B690" s="19"/>
      <c r="C690" s="19"/>
      <c r="D690" s="19"/>
      <c r="E690" s="19"/>
      <c r="F690" s="19"/>
    </row>
    <row r="691" ht="15.75" customHeight="1">
      <c r="A691" s="19"/>
      <c r="B691" s="19"/>
      <c r="C691" s="19"/>
      <c r="D691" s="19"/>
      <c r="E691" s="19"/>
      <c r="F691" s="19"/>
    </row>
    <row r="692" ht="15.75" customHeight="1">
      <c r="A692" s="19"/>
      <c r="B692" s="19"/>
      <c r="C692" s="19"/>
      <c r="D692" s="19"/>
      <c r="E692" s="19"/>
      <c r="F692" s="19"/>
    </row>
    <row r="693" ht="15.75" customHeight="1">
      <c r="A693" s="19"/>
      <c r="B693" s="19"/>
      <c r="C693" s="19"/>
      <c r="D693" s="19"/>
      <c r="E693" s="19"/>
      <c r="F693" s="19"/>
    </row>
    <row r="694" ht="15.75" customHeight="1">
      <c r="A694" s="19"/>
      <c r="B694" s="19"/>
      <c r="C694" s="19"/>
      <c r="D694" s="19"/>
      <c r="E694" s="19"/>
      <c r="F694" s="19"/>
    </row>
    <row r="695" ht="15.75" customHeight="1">
      <c r="A695" s="19"/>
      <c r="B695" s="19"/>
      <c r="C695" s="19"/>
      <c r="D695" s="19"/>
      <c r="E695" s="19"/>
      <c r="F695" s="19"/>
    </row>
    <row r="696" ht="15.75" customHeight="1">
      <c r="A696" s="19"/>
      <c r="B696" s="19"/>
      <c r="C696" s="19"/>
      <c r="D696" s="19"/>
      <c r="E696" s="19"/>
      <c r="F696" s="19"/>
    </row>
    <row r="697" ht="15.75" customHeight="1">
      <c r="A697" s="19"/>
      <c r="B697" s="19"/>
      <c r="C697" s="19"/>
      <c r="D697" s="19"/>
      <c r="E697" s="19"/>
      <c r="F697" s="19"/>
    </row>
    <row r="698" ht="15.75" customHeight="1">
      <c r="A698" s="19"/>
      <c r="B698" s="19"/>
      <c r="C698" s="19"/>
      <c r="D698" s="19"/>
      <c r="E698" s="19"/>
      <c r="F698" s="19"/>
    </row>
    <row r="699" ht="15.75" customHeight="1">
      <c r="A699" s="19"/>
      <c r="B699" s="19"/>
      <c r="C699" s="19"/>
      <c r="D699" s="19"/>
      <c r="E699" s="19"/>
      <c r="F699" s="19"/>
    </row>
    <row r="700" ht="15.75" customHeight="1">
      <c r="A700" s="19"/>
      <c r="B700" s="19"/>
      <c r="C700" s="19"/>
      <c r="D700" s="19"/>
      <c r="E700" s="19"/>
      <c r="F700" s="19"/>
    </row>
    <row r="701" ht="15.75" customHeight="1">
      <c r="A701" s="19"/>
      <c r="B701" s="19"/>
      <c r="C701" s="19"/>
      <c r="D701" s="19"/>
      <c r="E701" s="19"/>
      <c r="F701" s="19"/>
    </row>
    <row r="702" ht="15.75" customHeight="1">
      <c r="A702" s="19"/>
      <c r="B702" s="19"/>
      <c r="C702" s="19"/>
      <c r="D702" s="19"/>
      <c r="E702" s="19"/>
      <c r="F702" s="19"/>
    </row>
    <row r="703" ht="15.75" customHeight="1">
      <c r="A703" s="19"/>
      <c r="B703" s="19"/>
      <c r="C703" s="19"/>
      <c r="D703" s="19"/>
      <c r="E703" s="19"/>
      <c r="F703" s="19"/>
    </row>
    <row r="704" ht="15.75" customHeight="1">
      <c r="A704" s="19"/>
      <c r="B704" s="19"/>
      <c r="C704" s="19"/>
      <c r="D704" s="19"/>
      <c r="E704" s="19"/>
      <c r="F704" s="19"/>
    </row>
    <row r="705" ht="15.75" customHeight="1">
      <c r="A705" s="19"/>
      <c r="B705" s="19"/>
      <c r="C705" s="19"/>
      <c r="D705" s="19"/>
      <c r="E705" s="19"/>
      <c r="F705" s="19"/>
    </row>
    <row r="706" ht="15.75" customHeight="1">
      <c r="A706" s="19"/>
      <c r="B706" s="19"/>
      <c r="C706" s="19"/>
      <c r="D706" s="19"/>
      <c r="E706" s="19"/>
      <c r="F706" s="19"/>
    </row>
    <row r="707" ht="15.75" customHeight="1">
      <c r="A707" s="19"/>
      <c r="B707" s="19"/>
      <c r="C707" s="19"/>
      <c r="D707" s="19"/>
      <c r="E707" s="19"/>
      <c r="F707" s="19"/>
    </row>
    <row r="708" ht="15.75" customHeight="1">
      <c r="A708" s="19"/>
      <c r="B708" s="19"/>
      <c r="C708" s="19"/>
      <c r="D708" s="19"/>
      <c r="E708" s="19"/>
      <c r="F708" s="19"/>
    </row>
    <row r="709" ht="15.75" customHeight="1">
      <c r="A709" s="19"/>
      <c r="B709" s="19"/>
      <c r="C709" s="19"/>
      <c r="D709" s="19"/>
      <c r="E709" s="19"/>
      <c r="F709" s="19"/>
    </row>
    <row r="710" ht="15.75" customHeight="1">
      <c r="A710" s="19"/>
      <c r="B710" s="19"/>
      <c r="C710" s="19"/>
      <c r="D710" s="19"/>
      <c r="E710" s="19"/>
      <c r="F710" s="19"/>
    </row>
    <row r="711" ht="15.75" customHeight="1">
      <c r="A711" s="19"/>
      <c r="B711" s="19"/>
      <c r="C711" s="19"/>
      <c r="D711" s="19"/>
      <c r="E711" s="19"/>
      <c r="F711" s="19"/>
    </row>
    <row r="712" ht="15.75" customHeight="1">
      <c r="A712" s="19"/>
      <c r="B712" s="19"/>
      <c r="C712" s="19"/>
      <c r="D712" s="19"/>
      <c r="E712" s="19"/>
      <c r="F712" s="19"/>
    </row>
    <row r="713" ht="15.75" customHeight="1">
      <c r="A713" s="19"/>
      <c r="B713" s="19"/>
      <c r="C713" s="19"/>
      <c r="D713" s="19"/>
      <c r="E713" s="19"/>
      <c r="F713" s="19"/>
    </row>
    <row r="714" ht="15.75" customHeight="1">
      <c r="A714" s="19"/>
      <c r="B714" s="19"/>
      <c r="C714" s="19"/>
      <c r="D714" s="19"/>
      <c r="E714" s="19"/>
      <c r="F714" s="19"/>
    </row>
    <row r="715" ht="15.75" customHeight="1">
      <c r="A715" s="19"/>
      <c r="B715" s="19"/>
      <c r="C715" s="19"/>
      <c r="D715" s="19"/>
      <c r="E715" s="19"/>
      <c r="F715" s="19"/>
    </row>
    <row r="716" ht="15.75" customHeight="1">
      <c r="A716" s="19"/>
      <c r="B716" s="19"/>
      <c r="C716" s="19"/>
      <c r="D716" s="19"/>
      <c r="E716" s="19"/>
      <c r="F716" s="19"/>
    </row>
    <row r="717" ht="15.75" customHeight="1">
      <c r="A717" s="19"/>
      <c r="B717" s="19"/>
      <c r="C717" s="19"/>
      <c r="D717" s="19"/>
      <c r="E717" s="19"/>
      <c r="F717" s="19"/>
    </row>
    <row r="718" ht="15.75" customHeight="1">
      <c r="A718" s="19"/>
      <c r="B718" s="19"/>
      <c r="C718" s="19"/>
      <c r="D718" s="19"/>
      <c r="E718" s="19"/>
      <c r="F718" s="19"/>
    </row>
    <row r="719" ht="15.75" customHeight="1">
      <c r="A719" s="19"/>
      <c r="B719" s="19"/>
      <c r="C719" s="19"/>
      <c r="D719" s="19"/>
      <c r="E719" s="19"/>
      <c r="F719" s="19"/>
    </row>
    <row r="720" ht="15.75" customHeight="1">
      <c r="A720" s="19"/>
      <c r="B720" s="19"/>
      <c r="C720" s="19"/>
      <c r="D720" s="19"/>
      <c r="E720" s="19"/>
      <c r="F720" s="19"/>
    </row>
    <row r="721" ht="15.75" customHeight="1">
      <c r="A721" s="19"/>
      <c r="B721" s="19"/>
      <c r="C721" s="19"/>
      <c r="D721" s="19"/>
      <c r="E721" s="19"/>
      <c r="F721" s="19"/>
    </row>
    <row r="722" ht="15.75" customHeight="1">
      <c r="A722" s="19"/>
      <c r="B722" s="19"/>
      <c r="C722" s="19"/>
      <c r="D722" s="19"/>
      <c r="E722" s="19"/>
      <c r="F722" s="19"/>
    </row>
    <row r="723" ht="15.75" customHeight="1">
      <c r="A723" s="19"/>
      <c r="B723" s="19"/>
      <c r="C723" s="19"/>
      <c r="D723" s="19"/>
      <c r="E723" s="19"/>
      <c r="F723" s="19"/>
    </row>
    <row r="724" ht="15.75" customHeight="1">
      <c r="A724" s="19"/>
      <c r="B724" s="19"/>
      <c r="C724" s="19"/>
      <c r="D724" s="19"/>
      <c r="E724" s="19"/>
      <c r="F724" s="19"/>
    </row>
    <row r="725" ht="15.75" customHeight="1">
      <c r="A725" s="19"/>
      <c r="B725" s="19"/>
      <c r="C725" s="19"/>
      <c r="D725" s="19"/>
      <c r="E725" s="19"/>
      <c r="F725" s="19"/>
    </row>
    <row r="726" ht="15.75" customHeight="1">
      <c r="A726" s="19"/>
      <c r="B726" s="19"/>
      <c r="C726" s="19"/>
      <c r="D726" s="19"/>
      <c r="E726" s="19"/>
      <c r="F726" s="19"/>
    </row>
    <row r="727" ht="15.75" customHeight="1">
      <c r="A727" s="19"/>
      <c r="B727" s="19"/>
      <c r="C727" s="19"/>
      <c r="D727" s="19"/>
      <c r="E727" s="19"/>
      <c r="F727" s="19"/>
    </row>
    <row r="728" ht="15.75" customHeight="1">
      <c r="A728" s="19"/>
      <c r="B728" s="19"/>
      <c r="C728" s="19"/>
      <c r="D728" s="19"/>
      <c r="E728" s="19"/>
      <c r="F728" s="19"/>
    </row>
    <row r="729" ht="15.75" customHeight="1">
      <c r="A729" s="19"/>
      <c r="B729" s="19"/>
      <c r="C729" s="19"/>
      <c r="D729" s="19"/>
      <c r="E729" s="19"/>
      <c r="F729" s="19"/>
    </row>
    <row r="730" ht="15.75" customHeight="1">
      <c r="A730" s="19"/>
      <c r="B730" s="19"/>
      <c r="C730" s="19"/>
      <c r="D730" s="19"/>
      <c r="E730" s="19"/>
      <c r="F730" s="19"/>
    </row>
    <row r="731" ht="15.75" customHeight="1">
      <c r="A731" s="19"/>
      <c r="B731" s="19"/>
      <c r="C731" s="19"/>
      <c r="D731" s="19"/>
      <c r="E731" s="19"/>
      <c r="F731" s="19"/>
    </row>
    <row r="732" ht="15.75" customHeight="1">
      <c r="A732" s="19"/>
      <c r="B732" s="19"/>
      <c r="C732" s="19"/>
      <c r="D732" s="19"/>
      <c r="E732" s="19"/>
      <c r="F732" s="19"/>
    </row>
    <row r="733" ht="15.75" customHeight="1">
      <c r="A733" s="19"/>
      <c r="B733" s="19"/>
      <c r="C733" s="19"/>
      <c r="D733" s="19"/>
      <c r="E733" s="19"/>
      <c r="F733" s="19"/>
    </row>
    <row r="734" ht="15.75" customHeight="1">
      <c r="A734" s="19"/>
      <c r="B734" s="19"/>
      <c r="C734" s="19"/>
      <c r="D734" s="19"/>
      <c r="E734" s="19"/>
      <c r="F734" s="19"/>
    </row>
    <row r="735" ht="15.75" customHeight="1">
      <c r="A735" s="19"/>
      <c r="B735" s="19"/>
      <c r="C735" s="19"/>
      <c r="D735" s="19"/>
      <c r="E735" s="19"/>
      <c r="F735" s="19"/>
    </row>
    <row r="736" ht="15.75" customHeight="1">
      <c r="A736" s="19"/>
      <c r="B736" s="19"/>
      <c r="C736" s="19"/>
      <c r="D736" s="19"/>
      <c r="E736" s="19"/>
      <c r="F736" s="19"/>
    </row>
    <row r="737" ht="15.75" customHeight="1">
      <c r="A737" s="19"/>
      <c r="B737" s="19"/>
      <c r="C737" s="19"/>
      <c r="D737" s="19"/>
      <c r="E737" s="19"/>
      <c r="F737" s="19"/>
    </row>
    <row r="738" ht="15.75" customHeight="1">
      <c r="A738" s="19"/>
      <c r="B738" s="19"/>
      <c r="C738" s="19"/>
      <c r="D738" s="19"/>
      <c r="E738" s="19"/>
      <c r="F738" s="19"/>
    </row>
    <row r="739" ht="15.75" customHeight="1">
      <c r="A739" s="19"/>
      <c r="B739" s="19"/>
      <c r="C739" s="19"/>
      <c r="D739" s="19"/>
      <c r="E739" s="19"/>
      <c r="F739" s="19"/>
    </row>
    <row r="740" ht="15.75" customHeight="1">
      <c r="A740" s="19"/>
      <c r="B740" s="19"/>
      <c r="C740" s="19"/>
      <c r="D740" s="19"/>
      <c r="E740" s="19"/>
      <c r="F740" s="19"/>
    </row>
    <row r="741" ht="15.75" customHeight="1">
      <c r="A741" s="19"/>
      <c r="B741" s="19"/>
      <c r="C741" s="19"/>
      <c r="D741" s="19"/>
      <c r="E741" s="19"/>
      <c r="F741" s="19"/>
    </row>
    <row r="742" ht="15.75" customHeight="1">
      <c r="A742" s="19"/>
      <c r="B742" s="19"/>
      <c r="C742" s="19"/>
      <c r="D742" s="19"/>
      <c r="E742" s="19"/>
      <c r="F742" s="19"/>
    </row>
    <row r="743" ht="15.75" customHeight="1">
      <c r="A743" s="19"/>
      <c r="B743" s="19"/>
      <c r="C743" s="19"/>
      <c r="D743" s="19"/>
      <c r="E743" s="19"/>
      <c r="F743" s="19"/>
    </row>
    <row r="744" ht="15.75" customHeight="1">
      <c r="A744" s="19"/>
      <c r="B744" s="19"/>
      <c r="C744" s="19"/>
      <c r="D744" s="19"/>
      <c r="E744" s="19"/>
      <c r="F744" s="19"/>
    </row>
    <row r="745" ht="15.75" customHeight="1">
      <c r="A745" s="19"/>
      <c r="B745" s="19"/>
      <c r="C745" s="19"/>
      <c r="D745" s="19"/>
      <c r="E745" s="19"/>
      <c r="F745" s="19"/>
    </row>
    <row r="746" ht="15.75" customHeight="1">
      <c r="A746" s="19"/>
      <c r="B746" s="19"/>
      <c r="C746" s="19"/>
      <c r="D746" s="19"/>
      <c r="E746" s="19"/>
      <c r="F746" s="19"/>
    </row>
    <row r="747" ht="15.75" customHeight="1">
      <c r="A747" s="19"/>
      <c r="B747" s="19"/>
      <c r="C747" s="19"/>
      <c r="D747" s="19"/>
      <c r="E747" s="19"/>
      <c r="F747" s="19"/>
    </row>
    <row r="748" ht="15.75" customHeight="1">
      <c r="A748" s="19"/>
      <c r="B748" s="19"/>
      <c r="C748" s="19"/>
      <c r="D748" s="19"/>
      <c r="E748" s="19"/>
      <c r="F748" s="19"/>
    </row>
    <row r="749" ht="15.75" customHeight="1">
      <c r="A749" s="19"/>
      <c r="B749" s="19"/>
      <c r="C749" s="19"/>
      <c r="D749" s="19"/>
      <c r="E749" s="19"/>
      <c r="F749" s="19"/>
    </row>
    <row r="750" ht="15.75" customHeight="1">
      <c r="A750" s="19"/>
      <c r="B750" s="19"/>
      <c r="C750" s="19"/>
      <c r="D750" s="19"/>
      <c r="E750" s="19"/>
      <c r="F750" s="19"/>
    </row>
    <row r="751" ht="15.75" customHeight="1">
      <c r="A751" s="19"/>
      <c r="B751" s="19"/>
      <c r="C751" s="19"/>
      <c r="D751" s="19"/>
      <c r="E751" s="19"/>
      <c r="F751" s="19"/>
    </row>
    <row r="752" ht="15.75" customHeight="1">
      <c r="A752" s="19"/>
      <c r="B752" s="19"/>
      <c r="C752" s="19"/>
      <c r="D752" s="19"/>
      <c r="E752" s="19"/>
      <c r="F752" s="19"/>
    </row>
    <row r="753" ht="15.75" customHeight="1">
      <c r="A753" s="19"/>
      <c r="B753" s="19"/>
      <c r="C753" s="19"/>
      <c r="D753" s="19"/>
      <c r="E753" s="19"/>
      <c r="F753" s="19"/>
    </row>
    <row r="754" ht="15.75" customHeight="1">
      <c r="A754" s="19"/>
      <c r="B754" s="19"/>
      <c r="C754" s="19"/>
      <c r="D754" s="19"/>
      <c r="E754" s="19"/>
      <c r="F754" s="19"/>
    </row>
    <row r="755" ht="15.75" customHeight="1">
      <c r="A755" s="19"/>
      <c r="B755" s="19"/>
      <c r="C755" s="19"/>
      <c r="D755" s="19"/>
      <c r="E755" s="19"/>
      <c r="F755" s="19"/>
    </row>
    <row r="756" ht="15.75" customHeight="1">
      <c r="A756" s="19"/>
      <c r="B756" s="19"/>
      <c r="C756" s="19"/>
      <c r="D756" s="19"/>
      <c r="E756" s="19"/>
      <c r="F756" s="19"/>
    </row>
    <row r="757" ht="15.75" customHeight="1">
      <c r="A757" s="19"/>
      <c r="B757" s="19"/>
      <c r="C757" s="19"/>
      <c r="D757" s="19"/>
      <c r="E757" s="19"/>
      <c r="F757" s="19"/>
    </row>
    <row r="758" ht="15.75" customHeight="1">
      <c r="A758" s="19"/>
      <c r="B758" s="19"/>
      <c r="C758" s="19"/>
      <c r="D758" s="19"/>
      <c r="E758" s="19"/>
      <c r="F758" s="19"/>
    </row>
    <row r="759" ht="15.75" customHeight="1">
      <c r="A759" s="19"/>
      <c r="B759" s="19"/>
      <c r="C759" s="19"/>
      <c r="D759" s="19"/>
      <c r="E759" s="19"/>
      <c r="F759" s="19"/>
    </row>
    <row r="760" ht="15.75" customHeight="1">
      <c r="A760" s="19"/>
      <c r="B760" s="19"/>
      <c r="C760" s="19"/>
      <c r="D760" s="19"/>
      <c r="E760" s="19"/>
      <c r="F760" s="19"/>
    </row>
    <row r="761" ht="15.75" customHeight="1">
      <c r="A761" s="19"/>
      <c r="B761" s="19"/>
      <c r="C761" s="19"/>
      <c r="D761" s="19"/>
      <c r="E761" s="19"/>
      <c r="F761" s="19"/>
    </row>
    <row r="762" ht="15.75" customHeight="1">
      <c r="A762" s="19"/>
      <c r="B762" s="19"/>
      <c r="C762" s="19"/>
      <c r="D762" s="19"/>
      <c r="E762" s="19"/>
      <c r="F762" s="19"/>
    </row>
    <row r="763" ht="15.75" customHeight="1">
      <c r="A763" s="19"/>
      <c r="B763" s="19"/>
      <c r="C763" s="19"/>
      <c r="D763" s="19"/>
      <c r="E763" s="19"/>
      <c r="F763" s="19"/>
    </row>
    <row r="764" ht="15.75" customHeight="1">
      <c r="A764" s="19"/>
      <c r="B764" s="19"/>
      <c r="C764" s="19"/>
      <c r="D764" s="19"/>
      <c r="E764" s="19"/>
      <c r="F764" s="19"/>
    </row>
    <row r="765" ht="15.75" customHeight="1">
      <c r="A765" s="19"/>
      <c r="B765" s="19"/>
      <c r="C765" s="19"/>
      <c r="D765" s="19"/>
      <c r="E765" s="19"/>
      <c r="F765" s="19"/>
    </row>
    <row r="766" ht="15.75" customHeight="1">
      <c r="A766" s="19"/>
      <c r="B766" s="19"/>
      <c r="C766" s="19"/>
      <c r="D766" s="19"/>
      <c r="E766" s="19"/>
      <c r="F766" s="19"/>
    </row>
    <row r="767" ht="15.75" customHeight="1">
      <c r="A767" s="19"/>
      <c r="B767" s="19"/>
      <c r="C767" s="19"/>
      <c r="D767" s="19"/>
      <c r="E767" s="19"/>
      <c r="F767" s="19"/>
    </row>
    <row r="768" ht="15.75" customHeight="1">
      <c r="A768" s="19"/>
      <c r="B768" s="19"/>
      <c r="C768" s="19"/>
      <c r="D768" s="19"/>
      <c r="E768" s="19"/>
      <c r="F768" s="19"/>
    </row>
    <row r="769" ht="15.75" customHeight="1">
      <c r="A769" s="19"/>
      <c r="B769" s="19"/>
      <c r="C769" s="19"/>
      <c r="D769" s="19"/>
      <c r="E769" s="19"/>
      <c r="F769" s="19"/>
    </row>
    <row r="770" ht="15.75" customHeight="1">
      <c r="A770" s="19"/>
      <c r="B770" s="19"/>
      <c r="C770" s="19"/>
      <c r="D770" s="19"/>
      <c r="E770" s="19"/>
      <c r="F770" s="19"/>
    </row>
    <row r="771" ht="15.75" customHeight="1">
      <c r="A771" s="19"/>
      <c r="B771" s="19"/>
      <c r="C771" s="19"/>
      <c r="D771" s="19"/>
      <c r="E771" s="19"/>
      <c r="F771" s="19"/>
    </row>
    <row r="772" ht="15.75" customHeight="1">
      <c r="A772" s="19"/>
      <c r="B772" s="19"/>
      <c r="C772" s="19"/>
      <c r="D772" s="19"/>
      <c r="E772" s="19"/>
      <c r="F772" s="19"/>
    </row>
    <row r="773" ht="15.75" customHeight="1">
      <c r="A773" s="19"/>
      <c r="B773" s="19"/>
      <c r="C773" s="19"/>
      <c r="D773" s="19"/>
      <c r="E773" s="19"/>
      <c r="F773" s="19"/>
    </row>
    <row r="774" ht="15.75" customHeight="1">
      <c r="A774" s="19"/>
      <c r="B774" s="19"/>
      <c r="C774" s="19"/>
      <c r="D774" s="19"/>
      <c r="E774" s="19"/>
      <c r="F774" s="19"/>
    </row>
    <row r="775" ht="15.75" customHeight="1">
      <c r="A775" s="19"/>
      <c r="B775" s="19"/>
      <c r="C775" s="19"/>
      <c r="D775" s="19"/>
      <c r="E775" s="19"/>
      <c r="F775" s="19"/>
    </row>
    <row r="776" ht="15.75" customHeight="1">
      <c r="A776" s="19"/>
      <c r="B776" s="19"/>
      <c r="C776" s="19"/>
      <c r="D776" s="19"/>
      <c r="E776" s="19"/>
      <c r="F776" s="19"/>
    </row>
    <row r="777" ht="15.75" customHeight="1">
      <c r="A777" s="19"/>
      <c r="B777" s="19"/>
      <c r="C777" s="19"/>
      <c r="D777" s="19"/>
      <c r="E777" s="19"/>
      <c r="F777" s="19"/>
    </row>
    <row r="778" ht="15.75" customHeight="1">
      <c r="A778" s="19"/>
      <c r="B778" s="19"/>
      <c r="C778" s="19"/>
      <c r="D778" s="19"/>
      <c r="E778" s="19"/>
      <c r="F778" s="19"/>
    </row>
    <row r="779" ht="15.75" customHeight="1">
      <c r="A779" s="19"/>
      <c r="B779" s="19"/>
      <c r="C779" s="19"/>
      <c r="D779" s="19"/>
      <c r="E779" s="19"/>
      <c r="F779" s="19"/>
    </row>
    <row r="780" ht="15.75" customHeight="1">
      <c r="A780" s="19"/>
      <c r="B780" s="19"/>
      <c r="C780" s="19"/>
      <c r="D780" s="19"/>
      <c r="E780" s="19"/>
      <c r="F780" s="19"/>
    </row>
    <row r="781" ht="15.75" customHeight="1">
      <c r="A781" s="19"/>
      <c r="B781" s="19"/>
      <c r="C781" s="19"/>
      <c r="D781" s="19"/>
      <c r="E781" s="19"/>
      <c r="F781" s="19"/>
    </row>
    <row r="782" ht="15.75" customHeight="1">
      <c r="A782" s="19"/>
      <c r="B782" s="19"/>
      <c r="C782" s="19"/>
      <c r="D782" s="19"/>
      <c r="E782" s="19"/>
      <c r="F782" s="19"/>
    </row>
    <row r="783" ht="15.75" customHeight="1">
      <c r="A783" s="19"/>
      <c r="B783" s="19"/>
      <c r="C783" s="19"/>
      <c r="D783" s="19"/>
      <c r="E783" s="19"/>
      <c r="F783" s="19"/>
    </row>
    <row r="784" ht="15.75" customHeight="1">
      <c r="A784" s="19"/>
      <c r="B784" s="19"/>
      <c r="C784" s="19"/>
      <c r="D784" s="19"/>
      <c r="E784" s="19"/>
      <c r="F784" s="19"/>
    </row>
    <row r="785" ht="15.75" customHeight="1">
      <c r="A785" s="19"/>
      <c r="B785" s="19"/>
      <c r="C785" s="19"/>
      <c r="D785" s="19"/>
      <c r="E785" s="19"/>
      <c r="F785" s="19"/>
    </row>
    <row r="786" ht="15.75" customHeight="1">
      <c r="A786" s="19"/>
      <c r="B786" s="19"/>
      <c r="C786" s="19"/>
      <c r="D786" s="19"/>
      <c r="E786" s="19"/>
      <c r="F786" s="19"/>
    </row>
    <row r="787" ht="15.75" customHeight="1">
      <c r="A787" s="19"/>
      <c r="B787" s="19"/>
      <c r="C787" s="19"/>
      <c r="D787" s="19"/>
      <c r="E787" s="19"/>
      <c r="F787" s="19"/>
    </row>
    <row r="788" ht="15.75" customHeight="1">
      <c r="A788" s="19"/>
      <c r="B788" s="19"/>
      <c r="C788" s="19"/>
      <c r="D788" s="19"/>
      <c r="E788" s="19"/>
      <c r="F788" s="19"/>
    </row>
    <row r="789" ht="15.75" customHeight="1">
      <c r="A789" s="19"/>
      <c r="B789" s="19"/>
      <c r="C789" s="19"/>
      <c r="D789" s="19"/>
      <c r="E789" s="19"/>
      <c r="F789" s="19"/>
    </row>
    <row r="790" ht="15.75" customHeight="1">
      <c r="A790" s="19"/>
      <c r="B790" s="19"/>
      <c r="C790" s="19"/>
      <c r="D790" s="19"/>
      <c r="E790" s="19"/>
      <c r="F790" s="19"/>
    </row>
    <row r="791" ht="15.75" customHeight="1">
      <c r="A791" s="19"/>
      <c r="B791" s="19"/>
      <c r="C791" s="19"/>
      <c r="D791" s="19"/>
      <c r="E791" s="19"/>
      <c r="F791" s="19"/>
    </row>
    <row r="792" ht="15.75" customHeight="1">
      <c r="A792" s="19"/>
      <c r="B792" s="19"/>
      <c r="C792" s="19"/>
      <c r="D792" s="19"/>
      <c r="E792" s="19"/>
      <c r="F792" s="19"/>
    </row>
    <row r="793" ht="15.75" customHeight="1">
      <c r="A793" s="19"/>
      <c r="B793" s="19"/>
      <c r="C793" s="19"/>
      <c r="D793" s="19"/>
      <c r="E793" s="19"/>
      <c r="F793" s="19"/>
    </row>
    <row r="794" ht="15.75" customHeight="1">
      <c r="A794" s="19"/>
      <c r="B794" s="19"/>
      <c r="C794" s="19"/>
      <c r="D794" s="19"/>
      <c r="E794" s="19"/>
      <c r="F794" s="19"/>
    </row>
    <row r="795" ht="15.75" customHeight="1">
      <c r="A795" s="19"/>
      <c r="B795" s="19"/>
      <c r="C795" s="19"/>
      <c r="D795" s="19"/>
      <c r="E795" s="19"/>
      <c r="F795" s="19"/>
    </row>
    <row r="796" ht="15.75" customHeight="1">
      <c r="A796" s="19"/>
      <c r="B796" s="19"/>
      <c r="C796" s="19"/>
      <c r="D796" s="19"/>
      <c r="E796" s="19"/>
      <c r="F796" s="19"/>
    </row>
    <row r="797" ht="15.75" customHeight="1">
      <c r="A797" s="19"/>
      <c r="B797" s="19"/>
      <c r="C797" s="19"/>
      <c r="D797" s="19"/>
      <c r="E797" s="19"/>
      <c r="F797" s="19"/>
    </row>
    <row r="798" ht="15.75" customHeight="1">
      <c r="A798" s="19"/>
      <c r="B798" s="19"/>
      <c r="C798" s="19"/>
      <c r="D798" s="19"/>
      <c r="E798" s="19"/>
      <c r="F798" s="19"/>
    </row>
    <row r="799" ht="15.75" customHeight="1">
      <c r="A799" s="19"/>
      <c r="B799" s="19"/>
      <c r="C799" s="19"/>
      <c r="D799" s="19"/>
      <c r="E799" s="19"/>
      <c r="F799" s="19"/>
    </row>
    <row r="800" ht="15.75" customHeight="1">
      <c r="A800" s="19"/>
      <c r="B800" s="19"/>
      <c r="C800" s="19"/>
      <c r="D800" s="19"/>
      <c r="E800" s="19"/>
      <c r="F800" s="19"/>
    </row>
    <row r="801" ht="15.75" customHeight="1">
      <c r="A801" s="19"/>
      <c r="B801" s="19"/>
      <c r="C801" s="19"/>
      <c r="D801" s="19"/>
      <c r="E801" s="19"/>
      <c r="F801" s="19"/>
    </row>
    <row r="802" ht="15.75" customHeight="1">
      <c r="A802" s="19"/>
      <c r="B802" s="19"/>
      <c r="C802" s="19"/>
      <c r="D802" s="19"/>
      <c r="E802" s="19"/>
      <c r="F802" s="19"/>
    </row>
    <row r="803" ht="15.75" customHeight="1">
      <c r="A803" s="19"/>
      <c r="B803" s="19"/>
      <c r="C803" s="19"/>
      <c r="D803" s="19"/>
      <c r="E803" s="19"/>
      <c r="F803" s="19"/>
    </row>
    <row r="804" ht="15.75" customHeight="1">
      <c r="A804" s="19"/>
      <c r="B804" s="19"/>
      <c r="C804" s="19"/>
      <c r="D804" s="19"/>
      <c r="E804" s="19"/>
      <c r="F804" s="19"/>
    </row>
    <row r="805" ht="15.75" customHeight="1">
      <c r="A805" s="19"/>
      <c r="B805" s="19"/>
      <c r="C805" s="19"/>
      <c r="D805" s="19"/>
      <c r="E805" s="19"/>
      <c r="F805" s="19"/>
    </row>
    <row r="806" ht="15.75" customHeight="1">
      <c r="A806" s="19"/>
      <c r="B806" s="19"/>
      <c r="C806" s="19"/>
      <c r="D806" s="19"/>
      <c r="E806" s="19"/>
      <c r="F806" s="19"/>
    </row>
    <row r="807" ht="15.75" customHeight="1">
      <c r="A807" s="19"/>
      <c r="B807" s="19"/>
      <c r="C807" s="19"/>
      <c r="D807" s="19"/>
      <c r="E807" s="19"/>
      <c r="F807" s="19"/>
    </row>
    <row r="808" ht="15.75" customHeight="1">
      <c r="A808" s="19"/>
      <c r="B808" s="19"/>
      <c r="C808" s="19"/>
      <c r="D808" s="19"/>
      <c r="E808" s="19"/>
      <c r="F808" s="19"/>
    </row>
    <row r="809" ht="15.75" customHeight="1">
      <c r="A809" s="19"/>
      <c r="B809" s="19"/>
      <c r="C809" s="19"/>
      <c r="D809" s="19"/>
      <c r="E809" s="19"/>
      <c r="F809" s="19"/>
    </row>
    <row r="810" ht="15.75" customHeight="1">
      <c r="A810" s="19"/>
      <c r="B810" s="19"/>
      <c r="C810" s="19"/>
      <c r="D810" s="19"/>
      <c r="E810" s="19"/>
      <c r="F810" s="19"/>
    </row>
    <row r="811" ht="15.75" customHeight="1">
      <c r="A811" s="19"/>
      <c r="B811" s="19"/>
      <c r="C811" s="19"/>
      <c r="D811" s="19"/>
      <c r="E811" s="19"/>
      <c r="F811" s="19"/>
    </row>
    <row r="812" ht="15.75" customHeight="1">
      <c r="A812" s="19"/>
      <c r="B812" s="19"/>
      <c r="C812" s="19"/>
      <c r="D812" s="19"/>
      <c r="E812" s="19"/>
      <c r="F812" s="19"/>
    </row>
    <row r="813" ht="15.75" customHeight="1">
      <c r="A813" s="19"/>
      <c r="B813" s="19"/>
      <c r="C813" s="19"/>
      <c r="D813" s="19"/>
      <c r="E813" s="19"/>
      <c r="F813" s="19"/>
    </row>
    <row r="814" ht="15.75" customHeight="1">
      <c r="A814" s="19"/>
      <c r="B814" s="19"/>
      <c r="C814" s="19"/>
      <c r="D814" s="19"/>
      <c r="E814" s="19"/>
      <c r="F814" s="19"/>
    </row>
    <row r="815" ht="15.75" customHeight="1">
      <c r="A815" s="19"/>
      <c r="B815" s="19"/>
      <c r="C815" s="19"/>
      <c r="D815" s="19"/>
      <c r="E815" s="19"/>
      <c r="F815" s="19"/>
    </row>
    <row r="816" ht="15.75" customHeight="1">
      <c r="A816" s="19"/>
      <c r="B816" s="19"/>
      <c r="C816" s="19"/>
      <c r="D816" s="19"/>
      <c r="E816" s="19"/>
      <c r="F816" s="19"/>
    </row>
    <row r="817" ht="15.75" customHeight="1">
      <c r="A817" s="19"/>
      <c r="B817" s="19"/>
      <c r="C817" s="19"/>
      <c r="D817" s="19"/>
      <c r="E817" s="19"/>
      <c r="F817" s="19"/>
    </row>
    <row r="818" ht="15.75" customHeight="1">
      <c r="A818" s="19"/>
      <c r="B818" s="19"/>
      <c r="C818" s="19"/>
      <c r="D818" s="19"/>
      <c r="E818" s="19"/>
      <c r="F818" s="19"/>
    </row>
    <row r="819" ht="15.75" customHeight="1">
      <c r="A819" s="19"/>
      <c r="B819" s="19"/>
      <c r="C819" s="19"/>
      <c r="D819" s="19"/>
      <c r="E819" s="19"/>
      <c r="F819" s="19"/>
    </row>
    <row r="820" ht="15.75" customHeight="1">
      <c r="A820" s="19"/>
      <c r="B820" s="19"/>
      <c r="C820" s="19"/>
      <c r="D820" s="19"/>
      <c r="E820" s="19"/>
      <c r="F820" s="19"/>
    </row>
    <row r="821" ht="15.75" customHeight="1">
      <c r="A821" s="19"/>
      <c r="B821" s="19"/>
      <c r="C821" s="19"/>
      <c r="D821" s="19"/>
      <c r="E821" s="19"/>
      <c r="F821" s="19"/>
    </row>
    <row r="822" ht="15.75" customHeight="1">
      <c r="A822" s="19"/>
      <c r="B822" s="19"/>
      <c r="C822" s="19"/>
      <c r="D822" s="19"/>
      <c r="E822" s="19"/>
      <c r="F822" s="19"/>
    </row>
    <row r="823" ht="15.75" customHeight="1">
      <c r="A823" s="19"/>
      <c r="B823" s="19"/>
      <c r="C823" s="19"/>
      <c r="D823" s="19"/>
      <c r="E823" s="19"/>
      <c r="F823" s="19"/>
    </row>
    <row r="824" ht="15.75" customHeight="1">
      <c r="A824" s="19"/>
      <c r="B824" s="19"/>
      <c r="C824" s="19"/>
      <c r="D824" s="19"/>
      <c r="E824" s="19"/>
      <c r="F824" s="19"/>
    </row>
    <row r="825" ht="15.75" customHeight="1">
      <c r="A825" s="19"/>
      <c r="B825" s="19"/>
      <c r="C825" s="19"/>
      <c r="D825" s="19"/>
      <c r="E825" s="19"/>
      <c r="F825" s="19"/>
    </row>
    <row r="826" ht="15.75" customHeight="1">
      <c r="A826" s="19"/>
      <c r="B826" s="19"/>
      <c r="C826" s="19"/>
      <c r="D826" s="19"/>
      <c r="E826" s="19"/>
      <c r="F826" s="19"/>
    </row>
    <row r="827" ht="15.75" customHeight="1">
      <c r="A827" s="19"/>
      <c r="B827" s="19"/>
      <c r="C827" s="19"/>
      <c r="D827" s="19"/>
      <c r="E827" s="19"/>
      <c r="F827" s="19"/>
    </row>
    <row r="828" ht="15.75" customHeight="1">
      <c r="A828" s="19"/>
      <c r="B828" s="19"/>
      <c r="C828" s="19"/>
      <c r="D828" s="19"/>
      <c r="E828" s="19"/>
      <c r="F828" s="19"/>
    </row>
    <row r="829" ht="15.75" customHeight="1">
      <c r="A829" s="19"/>
      <c r="B829" s="19"/>
      <c r="C829" s="19"/>
      <c r="D829" s="19"/>
      <c r="E829" s="19"/>
      <c r="F829" s="19"/>
    </row>
    <row r="830" ht="15.75" customHeight="1">
      <c r="A830" s="19"/>
      <c r="B830" s="19"/>
      <c r="C830" s="19"/>
      <c r="D830" s="19"/>
      <c r="E830" s="19"/>
      <c r="F830" s="19"/>
    </row>
    <row r="831" ht="15.75" customHeight="1">
      <c r="A831" s="19"/>
      <c r="B831" s="19"/>
      <c r="C831" s="19"/>
      <c r="D831" s="19"/>
      <c r="E831" s="19"/>
      <c r="F831" s="19"/>
    </row>
    <row r="832" ht="15.75" customHeight="1">
      <c r="A832" s="19"/>
      <c r="B832" s="19"/>
      <c r="C832" s="19"/>
      <c r="D832" s="19"/>
      <c r="E832" s="19"/>
      <c r="F832" s="19"/>
    </row>
    <row r="833" ht="15.75" customHeight="1">
      <c r="A833" s="19"/>
      <c r="B833" s="19"/>
      <c r="C833" s="19"/>
      <c r="D833" s="19"/>
      <c r="E833" s="19"/>
      <c r="F833" s="19"/>
    </row>
    <row r="834" ht="15.75" customHeight="1">
      <c r="A834" s="19"/>
      <c r="B834" s="19"/>
      <c r="C834" s="19"/>
      <c r="D834" s="19"/>
      <c r="E834" s="19"/>
      <c r="F834" s="19"/>
    </row>
    <row r="835" ht="15.75" customHeight="1">
      <c r="A835" s="19"/>
      <c r="B835" s="19"/>
      <c r="C835" s="19"/>
      <c r="D835" s="19"/>
      <c r="E835" s="19"/>
      <c r="F835" s="19"/>
    </row>
    <row r="836" ht="15.75" customHeight="1">
      <c r="A836" s="19"/>
      <c r="B836" s="19"/>
      <c r="C836" s="19"/>
      <c r="D836" s="19"/>
      <c r="E836" s="19"/>
      <c r="F836" s="19"/>
    </row>
    <row r="837" ht="15.75" customHeight="1">
      <c r="A837" s="19"/>
      <c r="B837" s="19"/>
      <c r="C837" s="19"/>
      <c r="D837" s="19"/>
      <c r="E837" s="19"/>
      <c r="F837" s="19"/>
    </row>
    <row r="838" ht="15.75" customHeight="1">
      <c r="A838" s="19"/>
      <c r="B838" s="19"/>
      <c r="C838" s="19"/>
      <c r="D838" s="19"/>
      <c r="E838" s="19"/>
      <c r="F838" s="19"/>
    </row>
    <row r="839" ht="15.75" customHeight="1">
      <c r="A839" s="19"/>
      <c r="B839" s="19"/>
      <c r="C839" s="19"/>
      <c r="D839" s="19"/>
      <c r="E839" s="19"/>
      <c r="F839" s="19"/>
    </row>
    <row r="840" ht="15.75" customHeight="1">
      <c r="A840" s="19"/>
      <c r="B840" s="19"/>
      <c r="C840" s="19"/>
      <c r="D840" s="19"/>
      <c r="E840" s="19"/>
      <c r="F840" s="19"/>
    </row>
    <row r="841" ht="15.75" customHeight="1">
      <c r="A841" s="19"/>
      <c r="B841" s="19"/>
      <c r="C841" s="19"/>
      <c r="D841" s="19"/>
      <c r="E841" s="19"/>
      <c r="F841" s="19"/>
    </row>
    <row r="842" ht="15.75" customHeight="1">
      <c r="A842" s="19"/>
      <c r="B842" s="19"/>
      <c r="C842" s="19"/>
      <c r="D842" s="19"/>
      <c r="E842" s="19"/>
      <c r="F842" s="19"/>
    </row>
    <row r="843" ht="15.75" customHeight="1">
      <c r="A843" s="19"/>
      <c r="B843" s="19"/>
      <c r="C843" s="19"/>
      <c r="D843" s="19"/>
      <c r="E843" s="19"/>
      <c r="F843" s="19"/>
    </row>
    <row r="844" ht="15.75" customHeight="1">
      <c r="A844" s="19"/>
      <c r="B844" s="19"/>
      <c r="C844" s="19"/>
      <c r="D844" s="19"/>
      <c r="E844" s="19"/>
      <c r="F844" s="19"/>
    </row>
    <row r="845" ht="15.75" customHeight="1">
      <c r="A845" s="19"/>
      <c r="B845" s="19"/>
      <c r="C845" s="19"/>
      <c r="D845" s="19"/>
      <c r="E845" s="19"/>
      <c r="F845" s="19"/>
    </row>
    <row r="846" ht="15.75" customHeight="1">
      <c r="A846" s="19"/>
      <c r="B846" s="19"/>
      <c r="C846" s="19"/>
      <c r="D846" s="19"/>
      <c r="E846" s="19"/>
      <c r="F846" s="19"/>
    </row>
    <row r="847" ht="15.75" customHeight="1">
      <c r="A847" s="19"/>
      <c r="B847" s="19"/>
      <c r="C847" s="19"/>
      <c r="D847" s="19"/>
      <c r="E847" s="19"/>
      <c r="F847" s="19"/>
    </row>
    <row r="848" ht="15.75" customHeight="1">
      <c r="A848" s="19"/>
      <c r="B848" s="19"/>
      <c r="C848" s="19"/>
      <c r="D848" s="19"/>
      <c r="E848" s="19"/>
      <c r="F848" s="19"/>
    </row>
    <row r="849" ht="15.75" customHeight="1">
      <c r="A849" s="19"/>
      <c r="B849" s="19"/>
      <c r="C849" s="19"/>
      <c r="D849" s="19"/>
      <c r="E849" s="19"/>
      <c r="F849" s="19"/>
    </row>
    <row r="850" ht="15.75" customHeight="1">
      <c r="A850" s="19"/>
      <c r="B850" s="19"/>
      <c r="C850" s="19"/>
      <c r="D850" s="19"/>
      <c r="E850" s="19"/>
      <c r="F850" s="19"/>
    </row>
    <row r="851" ht="15.75" customHeight="1">
      <c r="A851" s="19"/>
      <c r="B851" s="19"/>
      <c r="C851" s="19"/>
      <c r="D851" s="19"/>
      <c r="E851" s="19"/>
      <c r="F851" s="19"/>
    </row>
    <row r="852" ht="15.75" customHeight="1">
      <c r="A852" s="19"/>
      <c r="B852" s="19"/>
      <c r="C852" s="19"/>
      <c r="D852" s="19"/>
      <c r="E852" s="19"/>
      <c r="F852" s="19"/>
    </row>
    <row r="853" ht="15.75" customHeight="1">
      <c r="A853" s="19"/>
      <c r="B853" s="19"/>
      <c r="C853" s="19"/>
      <c r="D853" s="19"/>
      <c r="E853" s="19"/>
      <c r="F853" s="19"/>
    </row>
    <row r="854" ht="15.75" customHeight="1">
      <c r="A854" s="19"/>
      <c r="B854" s="19"/>
      <c r="C854" s="19"/>
      <c r="D854" s="19"/>
      <c r="E854" s="19"/>
      <c r="F854" s="19"/>
    </row>
    <row r="855" ht="15.75" customHeight="1">
      <c r="A855" s="19"/>
      <c r="B855" s="19"/>
      <c r="C855" s="19"/>
      <c r="D855" s="19"/>
      <c r="E855" s="19"/>
      <c r="F855" s="19"/>
    </row>
    <row r="856" ht="15.75" customHeight="1">
      <c r="A856" s="19"/>
      <c r="B856" s="19"/>
      <c r="C856" s="19"/>
      <c r="D856" s="19"/>
      <c r="E856" s="19"/>
      <c r="F856" s="19"/>
    </row>
    <row r="857" ht="15.75" customHeight="1">
      <c r="A857" s="19"/>
      <c r="B857" s="19"/>
      <c r="C857" s="19"/>
      <c r="D857" s="19"/>
      <c r="E857" s="19"/>
      <c r="F857" s="19"/>
    </row>
    <row r="858" ht="15.75" customHeight="1">
      <c r="A858" s="19"/>
      <c r="B858" s="19"/>
      <c r="C858" s="19"/>
      <c r="D858" s="19"/>
      <c r="E858" s="19"/>
      <c r="F858" s="19"/>
    </row>
    <row r="859" ht="15.75" customHeight="1">
      <c r="A859" s="19"/>
      <c r="B859" s="19"/>
      <c r="C859" s="19"/>
      <c r="D859" s="19"/>
      <c r="E859" s="19"/>
      <c r="F859" s="19"/>
    </row>
    <row r="860" ht="15.75" customHeight="1">
      <c r="A860" s="19"/>
      <c r="B860" s="19"/>
      <c r="C860" s="19"/>
      <c r="D860" s="19"/>
      <c r="E860" s="19"/>
      <c r="F860" s="19"/>
    </row>
    <row r="861" ht="15.75" customHeight="1">
      <c r="A861" s="19"/>
      <c r="B861" s="19"/>
      <c r="C861" s="19"/>
      <c r="D861" s="19"/>
      <c r="E861" s="19"/>
      <c r="F861" s="19"/>
    </row>
    <row r="862" ht="15.75" customHeight="1">
      <c r="A862" s="19"/>
      <c r="B862" s="19"/>
      <c r="C862" s="19"/>
      <c r="D862" s="19"/>
      <c r="E862" s="19"/>
      <c r="F862" s="19"/>
    </row>
    <row r="863" ht="15.75" customHeight="1">
      <c r="A863" s="19"/>
      <c r="B863" s="19"/>
      <c r="C863" s="19"/>
      <c r="D863" s="19"/>
      <c r="E863" s="19"/>
      <c r="F863" s="19"/>
    </row>
    <row r="864" ht="15.75" customHeight="1">
      <c r="A864" s="19"/>
      <c r="B864" s="19"/>
      <c r="C864" s="19"/>
      <c r="D864" s="19"/>
      <c r="E864" s="19"/>
      <c r="F864" s="19"/>
    </row>
    <row r="865" ht="15.75" customHeight="1">
      <c r="A865" s="19"/>
      <c r="B865" s="19"/>
      <c r="C865" s="19"/>
      <c r="D865" s="19"/>
      <c r="E865" s="19"/>
      <c r="F865" s="19"/>
    </row>
    <row r="866" ht="15.75" customHeight="1">
      <c r="A866" s="19"/>
      <c r="B866" s="19"/>
      <c r="C866" s="19"/>
      <c r="D866" s="19"/>
      <c r="E866" s="19"/>
      <c r="F866" s="19"/>
    </row>
    <row r="867" ht="15.75" customHeight="1">
      <c r="A867" s="19"/>
      <c r="B867" s="19"/>
      <c r="C867" s="19"/>
      <c r="D867" s="19"/>
      <c r="E867" s="19"/>
      <c r="F867" s="19"/>
    </row>
    <row r="868" ht="15.75" customHeight="1">
      <c r="A868" s="19"/>
      <c r="B868" s="19"/>
      <c r="C868" s="19"/>
      <c r="D868" s="19"/>
      <c r="E868" s="19"/>
      <c r="F868" s="19"/>
    </row>
    <row r="869" ht="15.75" customHeight="1">
      <c r="A869" s="19"/>
      <c r="B869" s="19"/>
      <c r="C869" s="19"/>
      <c r="D869" s="19"/>
      <c r="E869" s="19"/>
      <c r="F869" s="19"/>
    </row>
    <row r="870" ht="15.75" customHeight="1">
      <c r="A870" s="19"/>
      <c r="B870" s="19"/>
      <c r="C870" s="19"/>
      <c r="D870" s="19"/>
      <c r="E870" s="19"/>
      <c r="F870" s="19"/>
    </row>
    <row r="871" ht="15.75" customHeight="1">
      <c r="A871" s="19"/>
      <c r="B871" s="19"/>
      <c r="C871" s="19"/>
      <c r="D871" s="19"/>
      <c r="E871" s="19"/>
      <c r="F871" s="19"/>
    </row>
    <row r="872" ht="15.75" customHeight="1">
      <c r="A872" s="19"/>
      <c r="B872" s="19"/>
      <c r="C872" s="19"/>
      <c r="D872" s="19"/>
      <c r="E872" s="19"/>
      <c r="F872" s="19"/>
    </row>
    <row r="873" ht="15.75" customHeight="1">
      <c r="A873" s="19"/>
      <c r="B873" s="19"/>
      <c r="C873" s="19"/>
      <c r="D873" s="19"/>
      <c r="E873" s="19"/>
      <c r="F873" s="19"/>
    </row>
    <row r="874" ht="15.75" customHeight="1">
      <c r="A874" s="19"/>
      <c r="B874" s="19"/>
      <c r="C874" s="19"/>
      <c r="D874" s="19"/>
      <c r="E874" s="19"/>
      <c r="F874" s="19"/>
    </row>
    <row r="875" ht="15.75" customHeight="1">
      <c r="A875" s="19"/>
      <c r="B875" s="19"/>
      <c r="C875" s="19"/>
      <c r="D875" s="19"/>
      <c r="E875" s="19"/>
      <c r="F875" s="19"/>
    </row>
    <row r="876" ht="15.75" customHeight="1">
      <c r="A876" s="19"/>
      <c r="B876" s="19"/>
      <c r="C876" s="19"/>
      <c r="D876" s="19"/>
      <c r="E876" s="19"/>
      <c r="F876" s="19"/>
    </row>
    <row r="877" ht="15.75" customHeight="1">
      <c r="A877" s="19"/>
      <c r="B877" s="19"/>
      <c r="C877" s="19"/>
      <c r="D877" s="19"/>
      <c r="E877" s="19"/>
      <c r="F877" s="19"/>
    </row>
    <row r="878" ht="15.75" customHeight="1">
      <c r="A878" s="19"/>
      <c r="B878" s="19"/>
      <c r="C878" s="19"/>
      <c r="D878" s="19"/>
      <c r="E878" s="19"/>
      <c r="F878" s="19"/>
    </row>
    <row r="879" ht="15.75" customHeight="1">
      <c r="A879" s="19"/>
      <c r="B879" s="19"/>
      <c r="C879" s="19"/>
      <c r="D879" s="19"/>
      <c r="E879" s="19"/>
      <c r="F879" s="19"/>
    </row>
    <row r="880" ht="15.75" customHeight="1">
      <c r="A880" s="19"/>
      <c r="B880" s="19"/>
      <c r="C880" s="19"/>
      <c r="D880" s="19"/>
      <c r="E880" s="19"/>
      <c r="F880" s="19"/>
    </row>
    <row r="881" ht="15.75" customHeight="1">
      <c r="A881" s="19"/>
      <c r="B881" s="19"/>
      <c r="C881" s="19"/>
      <c r="D881" s="19"/>
      <c r="E881" s="19"/>
      <c r="F881" s="19"/>
    </row>
    <row r="882" ht="15.75" customHeight="1">
      <c r="A882" s="19"/>
      <c r="B882" s="19"/>
      <c r="C882" s="19"/>
      <c r="D882" s="19"/>
      <c r="E882" s="19"/>
      <c r="F882" s="19"/>
    </row>
    <row r="883" ht="15.75" customHeight="1">
      <c r="A883" s="19"/>
      <c r="B883" s="19"/>
      <c r="C883" s="19"/>
      <c r="D883" s="19"/>
      <c r="E883" s="19"/>
      <c r="F883" s="19"/>
    </row>
    <row r="884" ht="15.75" customHeight="1">
      <c r="A884" s="19"/>
      <c r="B884" s="19"/>
      <c r="C884" s="19"/>
      <c r="D884" s="19"/>
      <c r="E884" s="19"/>
      <c r="F884" s="19"/>
    </row>
    <row r="885" ht="15.75" customHeight="1">
      <c r="A885" s="19"/>
      <c r="B885" s="19"/>
      <c r="C885" s="19"/>
      <c r="D885" s="19"/>
      <c r="E885" s="19"/>
      <c r="F885" s="19"/>
    </row>
    <row r="886" ht="15.75" customHeight="1">
      <c r="A886" s="19"/>
      <c r="B886" s="19"/>
      <c r="C886" s="19"/>
      <c r="D886" s="19"/>
      <c r="E886" s="19"/>
      <c r="F886" s="19"/>
    </row>
    <row r="887" ht="15.75" customHeight="1">
      <c r="A887" s="19"/>
      <c r="B887" s="19"/>
      <c r="C887" s="19"/>
      <c r="D887" s="19"/>
      <c r="E887" s="19"/>
      <c r="F887" s="19"/>
    </row>
    <row r="888" ht="15.75" customHeight="1">
      <c r="A888" s="19"/>
      <c r="B888" s="19"/>
      <c r="C888" s="19"/>
      <c r="D888" s="19"/>
      <c r="E888" s="19"/>
      <c r="F888" s="19"/>
    </row>
    <row r="889" ht="15.75" customHeight="1">
      <c r="A889" s="19"/>
      <c r="B889" s="19"/>
      <c r="C889" s="19"/>
      <c r="D889" s="19"/>
      <c r="E889" s="19"/>
      <c r="F889" s="19"/>
    </row>
    <row r="890" ht="15.75" customHeight="1">
      <c r="A890" s="19"/>
      <c r="B890" s="19"/>
      <c r="C890" s="19"/>
      <c r="D890" s="19"/>
      <c r="E890" s="19"/>
      <c r="F890" s="19"/>
    </row>
    <row r="891" ht="15.75" customHeight="1">
      <c r="A891" s="19"/>
      <c r="B891" s="19"/>
      <c r="C891" s="19"/>
      <c r="D891" s="19"/>
      <c r="E891" s="19"/>
      <c r="F891" s="19"/>
    </row>
    <row r="892" ht="15.75" customHeight="1">
      <c r="A892" s="19"/>
      <c r="B892" s="19"/>
      <c r="C892" s="19"/>
      <c r="D892" s="19"/>
      <c r="E892" s="19"/>
      <c r="F892" s="19"/>
    </row>
    <row r="893" ht="15.75" customHeight="1">
      <c r="A893" s="19"/>
      <c r="B893" s="19"/>
      <c r="C893" s="19"/>
      <c r="D893" s="19"/>
      <c r="E893" s="19"/>
      <c r="F893" s="19"/>
    </row>
    <row r="894" ht="15.75" customHeight="1">
      <c r="A894" s="19"/>
      <c r="B894" s="19"/>
      <c r="C894" s="19"/>
      <c r="D894" s="19"/>
      <c r="E894" s="19"/>
      <c r="F894" s="19"/>
    </row>
    <row r="895" ht="15.75" customHeight="1">
      <c r="A895" s="19"/>
      <c r="B895" s="19"/>
      <c r="C895" s="19"/>
      <c r="D895" s="19"/>
      <c r="E895" s="19"/>
      <c r="F895" s="19"/>
    </row>
    <row r="896" ht="15.75" customHeight="1">
      <c r="A896" s="19"/>
      <c r="B896" s="19"/>
      <c r="C896" s="19"/>
      <c r="D896" s="19"/>
      <c r="E896" s="19"/>
      <c r="F896" s="19"/>
    </row>
    <row r="897" ht="15.75" customHeight="1">
      <c r="A897" s="19"/>
      <c r="B897" s="19"/>
      <c r="C897" s="19"/>
      <c r="D897" s="19"/>
      <c r="E897" s="19"/>
      <c r="F897" s="19"/>
    </row>
    <row r="898" ht="15.75" customHeight="1">
      <c r="A898" s="19"/>
      <c r="B898" s="19"/>
      <c r="C898" s="19"/>
      <c r="D898" s="19"/>
      <c r="E898" s="19"/>
      <c r="F898" s="19"/>
    </row>
    <row r="899" ht="15.75" customHeight="1">
      <c r="A899" s="19"/>
      <c r="B899" s="19"/>
      <c r="C899" s="19"/>
      <c r="D899" s="19"/>
      <c r="E899" s="19"/>
      <c r="F899" s="19"/>
    </row>
    <row r="900" ht="15.75" customHeight="1">
      <c r="A900" s="19"/>
      <c r="B900" s="19"/>
      <c r="C900" s="19"/>
      <c r="D900" s="19"/>
      <c r="E900" s="19"/>
      <c r="F900" s="19"/>
    </row>
    <row r="901" ht="15.75" customHeight="1">
      <c r="A901" s="19"/>
      <c r="B901" s="19"/>
      <c r="C901" s="19"/>
      <c r="D901" s="19"/>
      <c r="E901" s="19"/>
      <c r="F901" s="19"/>
    </row>
    <row r="902" ht="15.75" customHeight="1">
      <c r="A902" s="19"/>
      <c r="B902" s="19"/>
      <c r="C902" s="19"/>
      <c r="D902" s="19"/>
      <c r="E902" s="19"/>
      <c r="F902" s="19"/>
    </row>
    <row r="903" ht="15.75" customHeight="1">
      <c r="A903" s="19"/>
      <c r="B903" s="19"/>
      <c r="C903" s="19"/>
      <c r="D903" s="19"/>
      <c r="E903" s="19"/>
      <c r="F903" s="19"/>
    </row>
    <row r="904" ht="15.75" customHeight="1">
      <c r="A904" s="19"/>
      <c r="B904" s="19"/>
      <c r="C904" s="19"/>
      <c r="D904" s="19"/>
      <c r="E904" s="19"/>
      <c r="F904" s="19"/>
    </row>
    <row r="905" ht="15.75" customHeight="1">
      <c r="A905" s="19"/>
      <c r="B905" s="19"/>
      <c r="C905" s="19"/>
      <c r="D905" s="19"/>
      <c r="E905" s="19"/>
      <c r="F905" s="19"/>
    </row>
    <row r="906" ht="15.75" customHeight="1">
      <c r="A906" s="19"/>
      <c r="B906" s="19"/>
      <c r="C906" s="19"/>
      <c r="D906" s="19"/>
      <c r="E906" s="19"/>
      <c r="F906" s="19"/>
    </row>
    <row r="907" ht="15.75" customHeight="1">
      <c r="A907" s="19"/>
      <c r="B907" s="19"/>
      <c r="C907" s="19"/>
      <c r="D907" s="19"/>
      <c r="E907" s="19"/>
      <c r="F907" s="19"/>
    </row>
    <row r="908" ht="15.75" customHeight="1">
      <c r="A908" s="19"/>
      <c r="B908" s="19"/>
      <c r="C908" s="19"/>
      <c r="D908" s="19"/>
      <c r="E908" s="19"/>
      <c r="F908" s="19"/>
    </row>
    <row r="909" ht="15.75" customHeight="1">
      <c r="A909" s="19"/>
      <c r="B909" s="19"/>
      <c r="C909" s="19"/>
      <c r="D909" s="19"/>
      <c r="E909" s="19"/>
      <c r="F909" s="19"/>
    </row>
    <row r="910" ht="15.75" customHeight="1">
      <c r="A910" s="19"/>
      <c r="B910" s="19"/>
      <c r="C910" s="19"/>
      <c r="D910" s="19"/>
      <c r="E910" s="19"/>
      <c r="F910" s="19"/>
    </row>
    <row r="911" ht="15.75" customHeight="1">
      <c r="A911" s="19"/>
      <c r="B911" s="19"/>
      <c r="C911" s="19"/>
      <c r="D911" s="19"/>
      <c r="E911" s="19"/>
      <c r="F911" s="19"/>
    </row>
    <row r="912" ht="15.75" customHeight="1">
      <c r="A912" s="19"/>
      <c r="B912" s="19"/>
      <c r="C912" s="19"/>
      <c r="D912" s="19"/>
      <c r="E912" s="19"/>
      <c r="F912" s="19"/>
    </row>
    <row r="913" ht="15.75" customHeight="1">
      <c r="A913" s="19"/>
      <c r="B913" s="19"/>
      <c r="C913" s="19"/>
      <c r="D913" s="19"/>
      <c r="E913" s="19"/>
      <c r="F913" s="19"/>
    </row>
    <row r="914" ht="15.75" customHeight="1">
      <c r="A914" s="19"/>
      <c r="B914" s="19"/>
      <c r="C914" s="19"/>
      <c r="D914" s="19"/>
      <c r="E914" s="19"/>
      <c r="F914" s="19"/>
    </row>
    <row r="915" ht="15.75" customHeight="1">
      <c r="A915" s="19"/>
      <c r="B915" s="19"/>
      <c r="C915" s="19"/>
      <c r="D915" s="19"/>
      <c r="E915" s="19"/>
      <c r="F915" s="19"/>
    </row>
    <row r="916" ht="15.75" customHeight="1">
      <c r="A916" s="19"/>
      <c r="B916" s="19"/>
      <c r="C916" s="19"/>
      <c r="D916" s="19"/>
      <c r="E916" s="19"/>
      <c r="F916" s="19"/>
    </row>
    <row r="917" ht="15.75" customHeight="1">
      <c r="A917" s="19"/>
      <c r="B917" s="19"/>
      <c r="C917" s="19"/>
      <c r="D917" s="19"/>
      <c r="E917" s="19"/>
      <c r="F917" s="19"/>
    </row>
    <row r="918" ht="15.75" customHeight="1">
      <c r="A918" s="19"/>
      <c r="B918" s="19"/>
      <c r="C918" s="19"/>
      <c r="D918" s="19"/>
      <c r="E918" s="19"/>
      <c r="F918" s="19"/>
    </row>
    <row r="919" ht="15.75" customHeight="1">
      <c r="A919" s="19"/>
      <c r="B919" s="19"/>
      <c r="C919" s="19"/>
      <c r="D919" s="19"/>
      <c r="E919" s="19"/>
      <c r="F919" s="19"/>
    </row>
    <row r="920" ht="15.75" customHeight="1">
      <c r="A920" s="19"/>
      <c r="B920" s="19"/>
      <c r="C920" s="19"/>
      <c r="D920" s="19"/>
      <c r="E920" s="19"/>
      <c r="F920" s="19"/>
    </row>
    <row r="921" ht="15.75" customHeight="1">
      <c r="A921" s="19"/>
      <c r="B921" s="19"/>
      <c r="C921" s="19"/>
      <c r="D921" s="19"/>
      <c r="E921" s="19"/>
      <c r="F921" s="19"/>
    </row>
    <row r="922" ht="15.75" customHeight="1">
      <c r="A922" s="19"/>
      <c r="B922" s="19"/>
      <c r="C922" s="19"/>
      <c r="D922" s="19"/>
      <c r="E922" s="19"/>
      <c r="F922" s="19"/>
    </row>
    <row r="923" ht="15.75" customHeight="1">
      <c r="A923" s="19"/>
      <c r="B923" s="19"/>
      <c r="C923" s="19"/>
      <c r="D923" s="19"/>
      <c r="E923" s="19"/>
      <c r="F923" s="19"/>
    </row>
    <row r="924" ht="15.75" customHeight="1">
      <c r="A924" s="19"/>
      <c r="B924" s="19"/>
      <c r="C924" s="19"/>
      <c r="D924" s="19"/>
      <c r="E924" s="19"/>
      <c r="F924" s="19"/>
    </row>
    <row r="925" ht="15.75" customHeight="1">
      <c r="A925" s="19"/>
      <c r="B925" s="19"/>
      <c r="C925" s="19"/>
      <c r="D925" s="19"/>
      <c r="E925" s="19"/>
      <c r="F925" s="19"/>
    </row>
    <row r="926" ht="15.75" customHeight="1">
      <c r="A926" s="19"/>
      <c r="B926" s="19"/>
      <c r="C926" s="19"/>
      <c r="D926" s="19"/>
      <c r="E926" s="19"/>
      <c r="F926" s="19"/>
    </row>
    <row r="927" ht="15.75" customHeight="1">
      <c r="A927" s="19"/>
      <c r="B927" s="19"/>
      <c r="C927" s="19"/>
      <c r="D927" s="19"/>
      <c r="E927" s="19"/>
      <c r="F927" s="19"/>
    </row>
    <row r="928" ht="15.75" customHeight="1">
      <c r="A928" s="19"/>
      <c r="B928" s="19"/>
      <c r="C928" s="19"/>
      <c r="D928" s="19"/>
      <c r="E928" s="19"/>
      <c r="F928" s="19"/>
    </row>
    <row r="929" ht="15.75" customHeight="1">
      <c r="A929" s="19"/>
      <c r="B929" s="19"/>
      <c r="C929" s="19"/>
      <c r="D929" s="19"/>
      <c r="E929" s="19"/>
      <c r="F929" s="19"/>
    </row>
    <row r="930" ht="15.75" customHeight="1">
      <c r="A930" s="19"/>
      <c r="B930" s="19"/>
      <c r="C930" s="19"/>
      <c r="D930" s="19"/>
      <c r="E930" s="19"/>
      <c r="F930" s="19"/>
    </row>
    <row r="931" ht="15.75" customHeight="1">
      <c r="A931" s="19"/>
      <c r="B931" s="19"/>
      <c r="C931" s="19"/>
      <c r="D931" s="19"/>
      <c r="E931" s="19"/>
      <c r="F931" s="19"/>
    </row>
    <row r="932" ht="15.75" customHeight="1">
      <c r="A932" s="19"/>
      <c r="B932" s="19"/>
      <c r="C932" s="19"/>
      <c r="D932" s="19"/>
      <c r="E932" s="19"/>
      <c r="F932" s="19"/>
    </row>
    <row r="933" ht="15.75" customHeight="1">
      <c r="A933" s="19"/>
      <c r="B933" s="19"/>
      <c r="C933" s="19"/>
      <c r="D933" s="19"/>
      <c r="E933" s="19"/>
      <c r="F933" s="19"/>
    </row>
    <row r="934" ht="15.75" customHeight="1">
      <c r="A934" s="19"/>
      <c r="B934" s="19"/>
      <c r="C934" s="19"/>
      <c r="D934" s="19"/>
      <c r="E934" s="19"/>
      <c r="F934" s="19"/>
    </row>
    <row r="935" ht="15.75" customHeight="1">
      <c r="A935" s="19"/>
      <c r="B935" s="19"/>
      <c r="C935" s="19"/>
      <c r="D935" s="19"/>
      <c r="E935" s="19"/>
      <c r="F935" s="19"/>
    </row>
    <row r="936" ht="15.75" customHeight="1">
      <c r="A936" s="19"/>
      <c r="B936" s="19"/>
      <c r="C936" s="19"/>
      <c r="D936" s="19"/>
      <c r="E936" s="19"/>
      <c r="F936" s="19"/>
    </row>
    <row r="937" ht="15.75" customHeight="1">
      <c r="A937" s="19"/>
      <c r="B937" s="19"/>
      <c r="C937" s="19"/>
      <c r="D937" s="19"/>
      <c r="E937" s="19"/>
      <c r="F937" s="19"/>
    </row>
    <row r="938" ht="15.75" customHeight="1">
      <c r="A938" s="19"/>
      <c r="B938" s="19"/>
      <c r="C938" s="19"/>
      <c r="D938" s="19"/>
      <c r="E938" s="19"/>
      <c r="F938" s="19"/>
    </row>
    <row r="939" ht="15.75" customHeight="1">
      <c r="A939" s="19"/>
      <c r="B939" s="19"/>
      <c r="C939" s="19"/>
      <c r="D939" s="19"/>
      <c r="E939" s="19"/>
      <c r="F939" s="19"/>
    </row>
    <row r="940" ht="15.75" customHeight="1">
      <c r="A940" s="19"/>
      <c r="B940" s="19"/>
      <c r="C940" s="19"/>
      <c r="D940" s="19"/>
      <c r="E940" s="19"/>
      <c r="F940" s="19"/>
    </row>
    <row r="941" ht="15.75" customHeight="1">
      <c r="A941" s="19"/>
      <c r="B941" s="19"/>
      <c r="C941" s="19"/>
      <c r="D941" s="19"/>
      <c r="E941" s="19"/>
      <c r="F941" s="19"/>
    </row>
    <row r="942" ht="15.75" customHeight="1">
      <c r="A942" s="19"/>
      <c r="B942" s="19"/>
      <c r="C942" s="19"/>
      <c r="D942" s="19"/>
      <c r="E942" s="19"/>
      <c r="F942" s="19"/>
    </row>
    <row r="943" ht="15.75" customHeight="1">
      <c r="A943" s="19"/>
      <c r="B943" s="19"/>
      <c r="C943" s="19"/>
      <c r="D943" s="19"/>
      <c r="E943" s="19"/>
      <c r="F943" s="19"/>
    </row>
    <row r="944" ht="15.75" customHeight="1">
      <c r="A944" s="19"/>
      <c r="B944" s="19"/>
      <c r="C944" s="19"/>
      <c r="D944" s="19"/>
      <c r="E944" s="19"/>
      <c r="F944" s="19"/>
    </row>
    <row r="945" ht="15.75" customHeight="1">
      <c r="A945" s="19"/>
      <c r="B945" s="19"/>
      <c r="C945" s="19"/>
      <c r="D945" s="19"/>
      <c r="E945" s="19"/>
      <c r="F945" s="19"/>
    </row>
    <row r="946" ht="15.75" customHeight="1">
      <c r="A946" s="19"/>
      <c r="B946" s="19"/>
      <c r="C946" s="19"/>
      <c r="D946" s="19"/>
      <c r="E946" s="19"/>
      <c r="F946" s="19"/>
    </row>
    <row r="947" ht="15.75" customHeight="1">
      <c r="A947" s="19"/>
      <c r="B947" s="19"/>
      <c r="C947" s="19"/>
      <c r="D947" s="19"/>
      <c r="E947" s="19"/>
      <c r="F947" s="19"/>
    </row>
    <row r="948" ht="15.75" customHeight="1">
      <c r="A948" s="19"/>
      <c r="B948" s="19"/>
      <c r="C948" s="19"/>
      <c r="D948" s="19"/>
      <c r="E948" s="19"/>
      <c r="F948" s="19"/>
    </row>
    <row r="949" ht="15.75" customHeight="1">
      <c r="A949" s="19"/>
      <c r="B949" s="19"/>
      <c r="C949" s="19"/>
      <c r="D949" s="19"/>
      <c r="E949" s="19"/>
      <c r="F949" s="19"/>
    </row>
    <row r="950" ht="15.75" customHeight="1">
      <c r="A950" s="19"/>
      <c r="B950" s="19"/>
      <c r="C950" s="19"/>
      <c r="D950" s="19"/>
      <c r="E950" s="19"/>
      <c r="F950" s="19"/>
    </row>
    <row r="951" ht="15.75" customHeight="1">
      <c r="A951" s="19"/>
      <c r="B951" s="19"/>
      <c r="C951" s="19"/>
      <c r="D951" s="19"/>
      <c r="E951" s="19"/>
      <c r="F951" s="19"/>
    </row>
    <row r="952" ht="15.75" customHeight="1">
      <c r="A952" s="19"/>
      <c r="B952" s="19"/>
      <c r="C952" s="19"/>
      <c r="D952" s="19"/>
      <c r="E952" s="19"/>
      <c r="F952" s="19"/>
    </row>
    <row r="953" ht="15.75" customHeight="1">
      <c r="A953" s="19"/>
      <c r="B953" s="19"/>
      <c r="C953" s="19"/>
      <c r="D953" s="19"/>
      <c r="E953" s="19"/>
      <c r="F953" s="19"/>
    </row>
    <row r="954" ht="15.75" customHeight="1">
      <c r="A954" s="19"/>
      <c r="B954" s="19"/>
      <c r="C954" s="19"/>
      <c r="D954" s="19"/>
      <c r="E954" s="19"/>
      <c r="F954" s="19"/>
    </row>
    <row r="955" ht="15.75" customHeight="1">
      <c r="A955" s="19"/>
      <c r="B955" s="19"/>
      <c r="C955" s="19"/>
      <c r="D955" s="19"/>
      <c r="E955" s="19"/>
      <c r="F955" s="19"/>
    </row>
    <row r="956" ht="15.75" customHeight="1">
      <c r="A956" s="19"/>
      <c r="B956" s="19"/>
      <c r="C956" s="19"/>
      <c r="D956" s="19"/>
      <c r="E956" s="19"/>
      <c r="F956" s="19"/>
    </row>
    <row r="957" ht="15.75" customHeight="1">
      <c r="A957" s="19"/>
      <c r="B957" s="19"/>
      <c r="C957" s="19"/>
      <c r="D957" s="19"/>
      <c r="E957" s="19"/>
      <c r="F957" s="19"/>
    </row>
    <row r="958" ht="15.75" customHeight="1">
      <c r="A958" s="19"/>
      <c r="B958" s="19"/>
      <c r="C958" s="19"/>
      <c r="D958" s="19"/>
      <c r="E958" s="19"/>
      <c r="F958" s="19"/>
    </row>
    <row r="959" ht="15.75" customHeight="1">
      <c r="A959" s="19"/>
      <c r="B959" s="19"/>
      <c r="C959" s="19"/>
      <c r="D959" s="19"/>
      <c r="E959" s="19"/>
      <c r="F959" s="19"/>
    </row>
    <row r="960" ht="15.75" customHeight="1">
      <c r="A960" s="19"/>
      <c r="B960" s="19"/>
      <c r="C960" s="19"/>
      <c r="D960" s="19"/>
      <c r="E960" s="19"/>
      <c r="F960" s="19"/>
    </row>
    <row r="961" ht="15.75" customHeight="1">
      <c r="A961" s="19"/>
      <c r="B961" s="19"/>
      <c r="C961" s="19"/>
      <c r="D961" s="19"/>
      <c r="E961" s="19"/>
      <c r="F961" s="19"/>
    </row>
    <row r="962" ht="15.75" customHeight="1">
      <c r="A962" s="19"/>
      <c r="B962" s="19"/>
      <c r="C962" s="19"/>
      <c r="D962" s="19"/>
      <c r="E962" s="19"/>
      <c r="F962" s="19"/>
    </row>
    <row r="963" ht="15.75" customHeight="1">
      <c r="A963" s="19"/>
      <c r="B963" s="19"/>
      <c r="C963" s="19"/>
      <c r="D963" s="19"/>
      <c r="E963" s="19"/>
      <c r="F963" s="19"/>
    </row>
    <row r="964" ht="15.75" customHeight="1">
      <c r="A964" s="19"/>
      <c r="B964" s="19"/>
      <c r="C964" s="19"/>
      <c r="D964" s="19"/>
      <c r="E964" s="19"/>
      <c r="F964" s="19"/>
    </row>
    <row r="965" ht="15.75" customHeight="1">
      <c r="A965" s="19"/>
      <c r="B965" s="19"/>
      <c r="C965" s="19"/>
      <c r="D965" s="19"/>
      <c r="E965" s="19"/>
      <c r="F965" s="19"/>
    </row>
    <row r="966" ht="15.75" customHeight="1">
      <c r="A966" s="19"/>
      <c r="B966" s="19"/>
      <c r="C966" s="19"/>
      <c r="D966" s="19"/>
      <c r="E966" s="19"/>
      <c r="F966" s="19"/>
    </row>
    <row r="967" ht="15.75" customHeight="1">
      <c r="A967" s="19"/>
      <c r="B967" s="19"/>
      <c r="C967" s="19"/>
      <c r="D967" s="19"/>
      <c r="E967" s="19"/>
      <c r="F967" s="19"/>
    </row>
    <row r="968" ht="15.75" customHeight="1">
      <c r="A968" s="19"/>
      <c r="B968" s="19"/>
      <c r="C968" s="19"/>
      <c r="D968" s="19"/>
      <c r="E968" s="19"/>
      <c r="F968" s="19"/>
    </row>
    <row r="969" ht="15.75" customHeight="1">
      <c r="A969" s="19"/>
      <c r="B969" s="19"/>
      <c r="C969" s="19"/>
      <c r="D969" s="19"/>
      <c r="E969" s="19"/>
      <c r="F969" s="19"/>
    </row>
    <row r="970" ht="15.75" customHeight="1">
      <c r="A970" s="19"/>
      <c r="B970" s="19"/>
      <c r="C970" s="19"/>
      <c r="D970" s="19"/>
      <c r="E970" s="19"/>
      <c r="F970" s="19"/>
    </row>
    <row r="971" ht="15.75" customHeight="1">
      <c r="A971" s="19"/>
      <c r="B971" s="19"/>
      <c r="C971" s="19"/>
      <c r="D971" s="19"/>
      <c r="E971" s="19"/>
      <c r="F971" s="19"/>
    </row>
    <row r="972" ht="15.75" customHeight="1">
      <c r="A972" s="19"/>
      <c r="B972" s="19"/>
      <c r="C972" s="19"/>
      <c r="D972" s="19"/>
      <c r="E972" s="19"/>
      <c r="F972" s="19"/>
    </row>
    <row r="973" ht="15.75" customHeight="1">
      <c r="A973" s="19"/>
      <c r="B973" s="19"/>
      <c r="C973" s="19"/>
      <c r="D973" s="19"/>
      <c r="E973" s="19"/>
      <c r="F973" s="19"/>
    </row>
    <row r="974" ht="15.75" customHeight="1">
      <c r="A974" s="19"/>
      <c r="B974" s="19"/>
      <c r="C974" s="19"/>
      <c r="D974" s="19"/>
      <c r="E974" s="19"/>
      <c r="F974" s="19"/>
    </row>
    <row r="975" ht="15.75" customHeight="1">
      <c r="A975" s="19"/>
      <c r="B975" s="19"/>
      <c r="C975" s="19"/>
      <c r="D975" s="19"/>
      <c r="E975" s="19"/>
      <c r="F975" s="19"/>
    </row>
    <row r="976" ht="15.75" customHeight="1">
      <c r="A976" s="19"/>
      <c r="B976" s="19"/>
      <c r="C976" s="19"/>
      <c r="D976" s="19"/>
      <c r="E976" s="19"/>
      <c r="F976" s="19"/>
    </row>
    <row r="977" ht="15.75" customHeight="1">
      <c r="A977" s="19"/>
      <c r="B977" s="19"/>
      <c r="C977" s="19"/>
      <c r="D977" s="19"/>
      <c r="E977" s="19"/>
      <c r="F977" s="19"/>
    </row>
    <row r="978" ht="15.75" customHeight="1">
      <c r="A978" s="19"/>
      <c r="B978" s="19"/>
      <c r="C978" s="19"/>
      <c r="D978" s="19"/>
      <c r="E978" s="19"/>
      <c r="F978" s="19"/>
    </row>
    <row r="979" ht="15.75" customHeight="1">
      <c r="A979" s="19"/>
      <c r="B979" s="19"/>
      <c r="C979" s="19"/>
      <c r="D979" s="19"/>
      <c r="E979" s="19"/>
      <c r="F979" s="19"/>
    </row>
    <row r="980" ht="15.75" customHeight="1">
      <c r="A980" s="19"/>
      <c r="B980" s="19"/>
      <c r="C980" s="19"/>
      <c r="D980" s="19"/>
      <c r="E980" s="19"/>
      <c r="F980" s="19"/>
    </row>
    <row r="981" ht="15.75" customHeight="1">
      <c r="A981" s="19"/>
      <c r="B981" s="19"/>
      <c r="C981" s="19"/>
      <c r="D981" s="19"/>
      <c r="E981" s="19"/>
      <c r="F981" s="19"/>
    </row>
    <row r="982" ht="15.75" customHeight="1">
      <c r="A982" s="19"/>
      <c r="B982" s="19"/>
      <c r="C982" s="19"/>
      <c r="D982" s="19"/>
      <c r="E982" s="19"/>
      <c r="F982" s="19"/>
    </row>
    <row r="983" ht="15.75" customHeight="1">
      <c r="A983" s="19"/>
      <c r="B983" s="19"/>
      <c r="C983" s="19"/>
      <c r="D983" s="19"/>
      <c r="E983" s="19"/>
      <c r="F983" s="19"/>
    </row>
    <row r="984" ht="15.75" customHeight="1">
      <c r="A984" s="19"/>
      <c r="B984" s="19"/>
      <c r="C984" s="19"/>
      <c r="D984" s="19"/>
      <c r="E984" s="19"/>
      <c r="F984" s="19"/>
    </row>
    <row r="985" ht="15.75" customHeight="1">
      <c r="A985" s="19"/>
      <c r="B985" s="19"/>
      <c r="C985" s="19"/>
      <c r="D985" s="19"/>
      <c r="E985" s="19"/>
      <c r="F985" s="19"/>
    </row>
    <row r="986" ht="15.75" customHeight="1">
      <c r="A986" s="19"/>
      <c r="B986" s="19"/>
      <c r="C986" s="19"/>
      <c r="D986" s="19"/>
      <c r="E986" s="19"/>
      <c r="F986" s="19"/>
    </row>
    <row r="987" ht="15.75" customHeight="1">
      <c r="A987" s="19"/>
      <c r="B987" s="19"/>
      <c r="C987" s="19"/>
      <c r="D987" s="19"/>
      <c r="E987" s="19"/>
      <c r="F987" s="19"/>
    </row>
    <row r="988" ht="15.75" customHeight="1">
      <c r="A988" s="19"/>
      <c r="B988" s="19"/>
      <c r="C988" s="19"/>
      <c r="D988" s="19"/>
      <c r="E988" s="19"/>
      <c r="F988" s="19"/>
    </row>
    <row r="989" ht="15.75" customHeight="1">
      <c r="A989" s="19"/>
      <c r="B989" s="19"/>
      <c r="C989" s="19"/>
      <c r="D989" s="19"/>
      <c r="E989" s="19"/>
      <c r="F989" s="19"/>
    </row>
    <row r="990" ht="15.75" customHeight="1">
      <c r="A990" s="19"/>
      <c r="B990" s="19"/>
      <c r="C990" s="19"/>
      <c r="D990" s="19"/>
      <c r="E990" s="19"/>
      <c r="F990" s="19"/>
    </row>
    <row r="991" ht="15.75" customHeight="1">
      <c r="A991" s="19"/>
      <c r="B991" s="19"/>
      <c r="C991" s="19"/>
      <c r="D991" s="19"/>
      <c r="E991" s="19"/>
      <c r="F991" s="19"/>
    </row>
    <row r="992" ht="15.75" customHeight="1">
      <c r="A992" s="19"/>
      <c r="B992" s="19"/>
      <c r="C992" s="19"/>
      <c r="D992" s="19"/>
      <c r="E992" s="19"/>
      <c r="F992" s="19"/>
    </row>
    <row r="993" ht="15.75" customHeight="1">
      <c r="A993" s="19"/>
      <c r="B993" s="19"/>
      <c r="C993" s="19"/>
      <c r="D993" s="19"/>
      <c r="E993" s="19"/>
      <c r="F993" s="19"/>
    </row>
    <row r="994" ht="15.75" customHeight="1">
      <c r="A994" s="19"/>
      <c r="B994" s="19"/>
      <c r="C994" s="19"/>
      <c r="D994" s="19"/>
      <c r="E994" s="19"/>
      <c r="F994" s="19"/>
    </row>
    <row r="995" ht="15.75" customHeight="1">
      <c r="A995" s="19"/>
      <c r="B995" s="19"/>
      <c r="C995" s="19"/>
      <c r="D995" s="19"/>
      <c r="E995" s="19"/>
      <c r="F995" s="19"/>
    </row>
    <row r="996" ht="15.75" customHeight="1">
      <c r="A996" s="19"/>
      <c r="B996" s="19"/>
      <c r="C996" s="19"/>
      <c r="D996" s="19"/>
      <c r="E996" s="19"/>
      <c r="F996" s="19"/>
    </row>
    <row r="997" ht="15.75" customHeight="1">
      <c r="A997" s="19"/>
      <c r="B997" s="19"/>
      <c r="C997" s="19"/>
      <c r="D997" s="19"/>
      <c r="E997" s="19"/>
      <c r="F997" s="19"/>
    </row>
    <row r="998" ht="15.75" customHeight="1">
      <c r="A998" s="19"/>
      <c r="B998" s="19"/>
      <c r="C998" s="19"/>
      <c r="D998" s="19"/>
      <c r="E998" s="19"/>
      <c r="F998" s="19"/>
    </row>
    <row r="999" ht="15.75" customHeight="1">
      <c r="A999" s="19"/>
      <c r="B999" s="19"/>
      <c r="C999" s="19"/>
      <c r="D999" s="19"/>
      <c r="E999" s="19"/>
      <c r="F999" s="19"/>
    </row>
    <row r="1000" ht="15.75" customHeight="1">
      <c r="A1000" s="19"/>
      <c r="B1000" s="19"/>
      <c r="C1000" s="19"/>
      <c r="D1000" s="19"/>
      <c r="E1000" s="19"/>
      <c r="F1000" s="19"/>
    </row>
  </sheetData>
  <mergeCells count="1">
    <mergeCell ref="A1:F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0.0"/>
    <col customWidth="1" min="3" max="3" width="55.0"/>
    <col customWidth="1" min="4" max="4" width="45.0"/>
    <col customWidth="1" min="5" max="5" width="20.0"/>
    <col customWidth="1" min="6" max="6" width="8.71"/>
  </cols>
  <sheetData>
    <row r="1" ht="17.25" customHeight="1">
      <c r="A1" s="20" t="s">
        <v>2628</v>
      </c>
      <c r="B1" s="21"/>
      <c r="C1" s="21"/>
      <c r="D1" s="21"/>
      <c r="E1" s="22"/>
      <c r="F1" s="19"/>
    </row>
    <row r="2">
      <c r="A2" s="19"/>
      <c r="B2" s="19"/>
      <c r="C2" s="19"/>
      <c r="D2" s="19"/>
      <c r="E2" s="19"/>
      <c r="F2" s="19"/>
    </row>
    <row r="3" ht="15.0" customHeight="1">
      <c r="A3" s="23" t="s">
        <v>2629</v>
      </c>
      <c r="B3" s="23" t="s">
        <v>2630</v>
      </c>
      <c r="C3" s="23" t="s">
        <v>2631</v>
      </c>
      <c r="D3" s="23" t="s">
        <v>2632</v>
      </c>
      <c r="E3" s="23" t="s">
        <v>2633</v>
      </c>
      <c r="F3" s="19"/>
    </row>
    <row r="4" ht="15.0" customHeight="1">
      <c r="A4" s="14" t="s">
        <v>2533</v>
      </c>
      <c r="B4" s="14" t="s">
        <v>33</v>
      </c>
      <c r="C4" s="14" t="s">
        <v>2634</v>
      </c>
      <c r="D4" s="14" t="s">
        <v>2635</v>
      </c>
      <c r="E4" s="14" t="s">
        <v>35</v>
      </c>
      <c r="F4" s="19"/>
    </row>
    <row r="5" ht="15.0" customHeight="1">
      <c r="A5" s="14" t="s">
        <v>2636</v>
      </c>
      <c r="B5" s="14" t="s">
        <v>1865</v>
      </c>
      <c r="C5" s="14" t="s">
        <v>2637</v>
      </c>
      <c r="D5" s="14" t="s">
        <v>2638</v>
      </c>
      <c r="E5" s="14" t="s">
        <v>390</v>
      </c>
      <c r="F5" s="19"/>
    </row>
    <row r="6" ht="15.0" customHeight="1">
      <c r="A6" s="14" t="s">
        <v>2639</v>
      </c>
      <c r="B6" s="14" t="s">
        <v>1132</v>
      </c>
      <c r="C6" s="14" t="s">
        <v>2640</v>
      </c>
      <c r="D6" s="14" t="s">
        <v>2641</v>
      </c>
      <c r="E6" s="14" t="s">
        <v>1987</v>
      </c>
      <c r="F6" s="19"/>
    </row>
    <row r="7" ht="15.0" customHeight="1">
      <c r="A7" s="14" t="s">
        <v>2642</v>
      </c>
      <c r="B7" s="14" t="s">
        <v>2508</v>
      </c>
      <c r="C7" s="14" t="s">
        <v>2643</v>
      </c>
      <c r="D7" s="14" t="s">
        <v>2644</v>
      </c>
      <c r="E7" s="14" t="s">
        <v>1134</v>
      </c>
      <c r="F7" s="19"/>
    </row>
    <row r="8">
      <c r="A8" s="19"/>
      <c r="B8" s="19"/>
      <c r="C8" s="19"/>
      <c r="D8" s="19"/>
      <c r="E8" s="19"/>
      <c r="F8" s="19"/>
    </row>
    <row r="9">
      <c r="A9" s="19"/>
      <c r="B9" s="19"/>
      <c r="C9" s="19"/>
      <c r="D9" s="19"/>
      <c r="E9" s="19"/>
      <c r="F9" s="19"/>
    </row>
    <row r="10">
      <c r="A10" s="19"/>
      <c r="B10" s="19"/>
      <c r="C10" s="19"/>
      <c r="D10" s="19"/>
      <c r="E10" s="19"/>
      <c r="F10" s="19"/>
    </row>
    <row r="11">
      <c r="A11" s="19"/>
      <c r="B11" s="19"/>
      <c r="C11" s="19"/>
      <c r="D11" s="19"/>
      <c r="E11" s="19"/>
      <c r="F11" s="19"/>
    </row>
    <row r="12">
      <c r="A12" s="19"/>
      <c r="B12" s="19"/>
      <c r="C12" s="19"/>
      <c r="D12" s="19"/>
      <c r="E12" s="19"/>
      <c r="F12" s="19"/>
    </row>
    <row r="13">
      <c r="A13" s="19"/>
      <c r="B13" s="19"/>
      <c r="C13" s="19"/>
      <c r="D13" s="19"/>
      <c r="E13" s="19"/>
      <c r="F13" s="19"/>
    </row>
    <row r="14">
      <c r="A14" s="19"/>
      <c r="B14" s="19"/>
      <c r="C14" s="19"/>
      <c r="D14" s="19"/>
      <c r="E14" s="19"/>
      <c r="F14" s="19"/>
    </row>
    <row r="15">
      <c r="A15" s="19"/>
      <c r="B15" s="19"/>
      <c r="C15" s="19"/>
      <c r="D15" s="19"/>
      <c r="E15" s="19"/>
      <c r="F15" s="19"/>
    </row>
    <row r="16">
      <c r="A16" s="19"/>
      <c r="B16" s="19"/>
      <c r="C16" s="19"/>
      <c r="D16" s="19"/>
      <c r="E16" s="19"/>
      <c r="F16" s="19"/>
    </row>
    <row r="17">
      <c r="A17" s="19"/>
      <c r="B17" s="19"/>
      <c r="C17" s="19"/>
      <c r="D17" s="19"/>
      <c r="E17" s="19"/>
      <c r="F17" s="19"/>
    </row>
    <row r="18">
      <c r="A18" s="19"/>
      <c r="B18" s="19"/>
      <c r="C18" s="19"/>
      <c r="D18" s="19"/>
      <c r="E18" s="19"/>
      <c r="F18" s="19"/>
    </row>
    <row r="19">
      <c r="A19" s="19"/>
      <c r="B19" s="19"/>
      <c r="C19" s="19"/>
      <c r="D19" s="19"/>
      <c r="E19" s="19"/>
      <c r="F19" s="19"/>
    </row>
    <row r="20">
      <c r="A20" s="19"/>
      <c r="B20" s="19"/>
      <c r="C20" s="19"/>
      <c r="D20" s="19"/>
      <c r="E20" s="19"/>
      <c r="F20" s="19"/>
    </row>
    <row r="21" ht="15.75" customHeight="1">
      <c r="A21" s="19"/>
      <c r="B21" s="19"/>
      <c r="C21" s="19"/>
      <c r="D21" s="19"/>
      <c r="E21" s="19"/>
      <c r="F21" s="19"/>
    </row>
    <row r="22" ht="15.75" customHeight="1">
      <c r="A22" s="19"/>
      <c r="B22" s="19"/>
      <c r="C22" s="19"/>
      <c r="D22" s="19"/>
      <c r="E22" s="19"/>
      <c r="F22" s="19"/>
    </row>
    <row r="23" ht="15.75" customHeight="1">
      <c r="A23" s="19"/>
      <c r="B23" s="19"/>
      <c r="C23" s="19"/>
      <c r="D23" s="19"/>
      <c r="E23" s="19"/>
      <c r="F23" s="19"/>
    </row>
    <row r="24" ht="15.75" customHeight="1">
      <c r="A24" s="19"/>
      <c r="B24" s="19"/>
      <c r="C24" s="19"/>
      <c r="D24" s="19"/>
      <c r="E24" s="19"/>
      <c r="F24" s="19"/>
    </row>
    <row r="25" ht="15.75" customHeight="1">
      <c r="A25" s="19"/>
      <c r="B25" s="19"/>
      <c r="C25" s="19"/>
      <c r="D25" s="19"/>
      <c r="E25" s="19"/>
      <c r="F25" s="19"/>
    </row>
    <row r="26" ht="15.75" customHeight="1">
      <c r="A26" s="19"/>
      <c r="B26" s="19"/>
      <c r="C26" s="19"/>
      <c r="D26" s="19"/>
      <c r="E26" s="19"/>
      <c r="F26" s="19"/>
    </row>
    <row r="27" ht="15.75" customHeight="1">
      <c r="A27" s="19"/>
      <c r="B27" s="19"/>
      <c r="C27" s="19"/>
      <c r="D27" s="19"/>
      <c r="E27" s="19"/>
      <c r="F27" s="19"/>
    </row>
    <row r="28" ht="15.75" customHeight="1">
      <c r="A28" s="19"/>
      <c r="B28" s="19"/>
      <c r="C28" s="19"/>
      <c r="D28" s="19"/>
      <c r="E28" s="19"/>
      <c r="F28" s="19"/>
    </row>
    <row r="29" ht="15.75" customHeight="1">
      <c r="A29" s="19"/>
      <c r="B29" s="19"/>
      <c r="C29" s="19"/>
      <c r="D29" s="19"/>
      <c r="E29" s="19"/>
      <c r="F29" s="19"/>
    </row>
    <row r="30" ht="15.75" customHeight="1">
      <c r="A30" s="19"/>
      <c r="B30" s="19"/>
      <c r="C30" s="19"/>
      <c r="D30" s="19"/>
      <c r="E30" s="19"/>
      <c r="F30" s="19"/>
    </row>
    <row r="31" ht="15.75" customHeight="1">
      <c r="A31" s="19"/>
      <c r="B31" s="19"/>
      <c r="C31" s="19"/>
      <c r="D31" s="19"/>
      <c r="E31" s="19"/>
      <c r="F31" s="19"/>
    </row>
    <row r="32" ht="15.75" customHeight="1">
      <c r="A32" s="19"/>
      <c r="B32" s="19"/>
      <c r="C32" s="19"/>
      <c r="D32" s="19"/>
      <c r="E32" s="19"/>
      <c r="F32" s="19"/>
    </row>
    <row r="33" ht="15.75" customHeight="1">
      <c r="A33" s="19"/>
      <c r="B33" s="19"/>
      <c r="C33" s="19"/>
      <c r="D33" s="19"/>
      <c r="E33" s="19"/>
      <c r="F33" s="19"/>
    </row>
    <row r="34" ht="15.75" customHeight="1">
      <c r="A34" s="19"/>
      <c r="B34" s="19"/>
      <c r="C34" s="19"/>
      <c r="D34" s="19"/>
      <c r="E34" s="19"/>
      <c r="F34" s="19"/>
    </row>
    <row r="35" ht="15.75" customHeight="1">
      <c r="A35" s="19"/>
      <c r="B35" s="19"/>
      <c r="C35" s="19"/>
      <c r="D35" s="19"/>
      <c r="E35" s="19"/>
      <c r="F35" s="19"/>
    </row>
    <row r="36" ht="15.75" customHeight="1">
      <c r="A36" s="19"/>
      <c r="B36" s="19"/>
      <c r="C36" s="19"/>
      <c r="D36" s="19"/>
      <c r="E36" s="19"/>
      <c r="F36" s="19"/>
    </row>
    <row r="37" ht="15.75" customHeight="1">
      <c r="A37" s="19"/>
      <c r="B37" s="19"/>
      <c r="C37" s="19"/>
      <c r="D37" s="19"/>
      <c r="E37" s="19"/>
      <c r="F37" s="19"/>
    </row>
    <row r="38" ht="15.75" customHeight="1">
      <c r="A38" s="19"/>
      <c r="B38" s="19"/>
      <c r="C38" s="19"/>
      <c r="D38" s="19"/>
      <c r="E38" s="19"/>
      <c r="F38" s="19"/>
    </row>
    <row r="39" ht="15.75" customHeight="1">
      <c r="A39" s="19"/>
      <c r="B39" s="19"/>
      <c r="C39" s="19"/>
      <c r="D39" s="19"/>
      <c r="E39" s="19"/>
      <c r="F39" s="19"/>
    </row>
    <row r="40" ht="15.75" customHeight="1">
      <c r="A40" s="19"/>
      <c r="B40" s="19"/>
      <c r="C40" s="19"/>
      <c r="D40" s="19"/>
      <c r="E40" s="19"/>
      <c r="F40" s="19"/>
    </row>
    <row r="41" ht="15.75" customHeight="1">
      <c r="A41" s="19"/>
      <c r="B41" s="19"/>
      <c r="C41" s="19"/>
      <c r="D41" s="19"/>
      <c r="E41" s="19"/>
      <c r="F41" s="19"/>
    </row>
    <row r="42" ht="15.75" customHeight="1">
      <c r="A42" s="19"/>
      <c r="B42" s="19"/>
      <c r="C42" s="19"/>
      <c r="D42" s="19"/>
      <c r="E42" s="19"/>
      <c r="F42" s="19"/>
    </row>
    <row r="43" ht="15.75" customHeight="1">
      <c r="A43" s="19"/>
      <c r="B43" s="19"/>
      <c r="C43" s="19"/>
      <c r="D43" s="19"/>
      <c r="E43" s="19"/>
      <c r="F43" s="19"/>
    </row>
    <row r="44" ht="15.75" customHeight="1">
      <c r="A44" s="19"/>
      <c r="B44" s="19"/>
      <c r="C44" s="19"/>
      <c r="D44" s="19"/>
      <c r="E44" s="19"/>
      <c r="F44" s="19"/>
    </row>
    <row r="45" ht="15.75" customHeight="1">
      <c r="A45" s="19"/>
      <c r="B45" s="19"/>
      <c r="C45" s="19"/>
      <c r="D45" s="19"/>
      <c r="E45" s="19"/>
      <c r="F45" s="19"/>
    </row>
    <row r="46" ht="15.75" customHeight="1">
      <c r="A46" s="19"/>
      <c r="B46" s="19"/>
      <c r="C46" s="19"/>
      <c r="D46" s="19"/>
      <c r="E46" s="19"/>
      <c r="F46" s="19"/>
    </row>
    <row r="47" ht="15.75" customHeight="1">
      <c r="A47" s="19"/>
      <c r="B47" s="19"/>
      <c r="C47" s="19"/>
      <c r="D47" s="19"/>
      <c r="E47" s="19"/>
      <c r="F47" s="19"/>
    </row>
    <row r="48" ht="15.75" customHeight="1">
      <c r="A48" s="19"/>
      <c r="B48" s="19"/>
      <c r="C48" s="19"/>
      <c r="D48" s="19"/>
      <c r="E48" s="19"/>
      <c r="F48" s="19"/>
    </row>
    <row r="49" ht="15.75" customHeight="1">
      <c r="A49" s="19"/>
      <c r="B49" s="19"/>
      <c r="C49" s="19"/>
      <c r="D49" s="19"/>
      <c r="E49" s="19"/>
      <c r="F49" s="19"/>
    </row>
    <row r="50" ht="15.75" customHeight="1">
      <c r="A50" s="19"/>
      <c r="B50" s="19"/>
      <c r="C50" s="19"/>
      <c r="D50" s="19"/>
      <c r="E50" s="19"/>
      <c r="F50" s="19"/>
    </row>
    <row r="51" ht="15.75" customHeight="1">
      <c r="A51" s="19"/>
      <c r="B51" s="19"/>
      <c r="C51" s="19"/>
      <c r="D51" s="19"/>
      <c r="E51" s="19"/>
      <c r="F51" s="19"/>
    </row>
    <row r="52" ht="15.75" customHeight="1">
      <c r="A52" s="19"/>
      <c r="B52" s="19"/>
      <c r="C52" s="19"/>
      <c r="D52" s="19"/>
      <c r="E52" s="19"/>
      <c r="F52" s="19"/>
    </row>
    <row r="53" ht="15.75" customHeight="1">
      <c r="A53" s="19"/>
      <c r="B53" s="19"/>
      <c r="C53" s="19"/>
      <c r="D53" s="19"/>
      <c r="E53" s="19"/>
      <c r="F53" s="19"/>
    </row>
    <row r="54" ht="15.75" customHeight="1">
      <c r="A54" s="19"/>
      <c r="B54" s="19"/>
      <c r="C54" s="19"/>
      <c r="D54" s="19"/>
      <c r="E54" s="19"/>
      <c r="F54" s="19"/>
    </row>
    <row r="55" ht="15.75" customHeight="1">
      <c r="A55" s="19"/>
      <c r="B55" s="19"/>
      <c r="C55" s="19"/>
      <c r="D55" s="19"/>
      <c r="E55" s="19"/>
      <c r="F55" s="19"/>
    </row>
    <row r="56" ht="15.75" customHeight="1">
      <c r="A56" s="19"/>
      <c r="B56" s="19"/>
      <c r="C56" s="19"/>
      <c r="D56" s="19"/>
      <c r="E56" s="19"/>
      <c r="F56" s="19"/>
    </row>
    <row r="57" ht="15.75" customHeight="1">
      <c r="A57" s="19"/>
      <c r="B57" s="19"/>
      <c r="C57" s="19"/>
      <c r="D57" s="19"/>
      <c r="E57" s="19"/>
      <c r="F57" s="19"/>
    </row>
    <row r="58" ht="15.75" customHeight="1">
      <c r="A58" s="19"/>
      <c r="B58" s="19"/>
      <c r="C58" s="19"/>
      <c r="D58" s="19"/>
      <c r="E58" s="19"/>
      <c r="F58" s="19"/>
    </row>
    <row r="59" ht="15.75" customHeight="1">
      <c r="A59" s="19"/>
      <c r="B59" s="19"/>
      <c r="C59" s="19"/>
      <c r="D59" s="19"/>
      <c r="E59" s="19"/>
      <c r="F59" s="19"/>
    </row>
    <row r="60" ht="15.75" customHeight="1">
      <c r="A60" s="19"/>
      <c r="B60" s="19"/>
      <c r="C60" s="19"/>
      <c r="D60" s="19"/>
      <c r="E60" s="19"/>
      <c r="F60" s="19"/>
    </row>
    <row r="61" ht="15.75" customHeight="1">
      <c r="A61" s="19"/>
      <c r="B61" s="19"/>
      <c r="C61" s="19"/>
      <c r="D61" s="19"/>
      <c r="E61" s="19"/>
      <c r="F61" s="19"/>
    </row>
    <row r="62" ht="15.75" customHeight="1">
      <c r="A62" s="19"/>
      <c r="B62" s="19"/>
      <c r="C62" s="19"/>
      <c r="D62" s="19"/>
      <c r="E62" s="19"/>
      <c r="F62" s="19"/>
    </row>
    <row r="63" ht="15.75" customHeight="1">
      <c r="A63" s="19"/>
      <c r="B63" s="19"/>
      <c r="C63" s="19"/>
      <c r="D63" s="19"/>
      <c r="E63" s="19"/>
      <c r="F63" s="19"/>
    </row>
    <row r="64" ht="15.75" customHeight="1">
      <c r="A64" s="19"/>
      <c r="B64" s="19"/>
      <c r="C64" s="19"/>
      <c r="D64" s="19"/>
      <c r="E64" s="19"/>
      <c r="F64" s="19"/>
    </row>
    <row r="65" ht="15.75" customHeight="1">
      <c r="A65" s="19"/>
      <c r="B65" s="19"/>
      <c r="C65" s="19"/>
      <c r="D65" s="19"/>
      <c r="E65" s="19"/>
      <c r="F65" s="19"/>
    </row>
    <row r="66" ht="15.75" customHeight="1">
      <c r="A66" s="19"/>
      <c r="B66" s="19"/>
      <c r="C66" s="19"/>
      <c r="D66" s="19"/>
      <c r="E66" s="19"/>
      <c r="F66" s="19"/>
    </row>
    <row r="67" ht="15.75" customHeight="1">
      <c r="A67" s="19"/>
      <c r="B67" s="19"/>
      <c r="C67" s="19"/>
      <c r="D67" s="19"/>
      <c r="E67" s="19"/>
      <c r="F67" s="19"/>
    </row>
    <row r="68" ht="15.75" customHeight="1">
      <c r="A68" s="19"/>
      <c r="B68" s="19"/>
      <c r="C68" s="19"/>
      <c r="D68" s="19"/>
      <c r="E68" s="19"/>
      <c r="F68" s="19"/>
    </row>
    <row r="69" ht="15.75" customHeight="1">
      <c r="A69" s="19"/>
      <c r="B69" s="19"/>
      <c r="C69" s="19"/>
      <c r="D69" s="19"/>
      <c r="E69" s="19"/>
      <c r="F69" s="19"/>
    </row>
    <row r="70" ht="15.75" customHeight="1">
      <c r="A70" s="19"/>
      <c r="B70" s="19"/>
      <c r="C70" s="19"/>
      <c r="D70" s="19"/>
      <c r="E70" s="19"/>
      <c r="F70" s="19"/>
    </row>
    <row r="71" ht="15.75" customHeight="1">
      <c r="A71" s="19"/>
      <c r="B71" s="19"/>
      <c r="C71" s="19"/>
      <c r="D71" s="19"/>
      <c r="E71" s="19"/>
      <c r="F71" s="19"/>
    </row>
    <row r="72" ht="15.75" customHeight="1">
      <c r="A72" s="19"/>
      <c r="B72" s="19"/>
      <c r="C72" s="19"/>
      <c r="D72" s="19"/>
      <c r="E72" s="19"/>
      <c r="F72" s="19"/>
    </row>
    <row r="73" ht="15.75" customHeight="1">
      <c r="A73" s="19"/>
      <c r="B73" s="19"/>
      <c r="C73" s="19"/>
      <c r="D73" s="19"/>
      <c r="E73" s="19"/>
      <c r="F73" s="19"/>
    </row>
    <row r="74" ht="15.75" customHeight="1">
      <c r="A74" s="19"/>
      <c r="B74" s="19"/>
      <c r="C74" s="19"/>
      <c r="D74" s="19"/>
      <c r="E74" s="19"/>
      <c r="F74" s="19"/>
    </row>
    <row r="75" ht="15.75" customHeight="1">
      <c r="A75" s="19"/>
      <c r="B75" s="19"/>
      <c r="C75" s="19"/>
      <c r="D75" s="19"/>
      <c r="E75" s="19"/>
      <c r="F75" s="19"/>
    </row>
    <row r="76" ht="15.75" customHeight="1">
      <c r="A76" s="19"/>
      <c r="B76" s="19"/>
      <c r="C76" s="19"/>
      <c r="D76" s="19"/>
      <c r="E76" s="19"/>
      <c r="F76" s="19"/>
    </row>
    <row r="77" ht="15.75" customHeight="1">
      <c r="A77" s="19"/>
      <c r="B77" s="19"/>
      <c r="C77" s="19"/>
      <c r="D77" s="19"/>
      <c r="E77" s="19"/>
      <c r="F77" s="19"/>
    </row>
    <row r="78" ht="15.75" customHeight="1">
      <c r="A78" s="19"/>
      <c r="B78" s="19"/>
      <c r="C78" s="19"/>
      <c r="D78" s="19"/>
      <c r="E78" s="19"/>
      <c r="F78" s="19"/>
    </row>
    <row r="79" ht="15.75" customHeight="1">
      <c r="A79" s="19"/>
      <c r="B79" s="19"/>
      <c r="C79" s="19"/>
      <c r="D79" s="19"/>
      <c r="E79" s="19"/>
      <c r="F79" s="19"/>
    </row>
    <row r="80" ht="15.75" customHeight="1">
      <c r="A80" s="19"/>
      <c r="B80" s="19"/>
      <c r="C80" s="19"/>
      <c r="D80" s="19"/>
      <c r="E80" s="19"/>
      <c r="F80" s="19"/>
    </row>
    <row r="81" ht="15.75" customHeight="1">
      <c r="A81" s="19"/>
      <c r="B81" s="19"/>
      <c r="C81" s="19"/>
      <c r="D81" s="19"/>
      <c r="E81" s="19"/>
      <c r="F81" s="19"/>
    </row>
    <row r="82" ht="15.75" customHeight="1">
      <c r="A82" s="19"/>
      <c r="B82" s="19"/>
      <c r="C82" s="19"/>
      <c r="D82" s="19"/>
      <c r="E82" s="19"/>
      <c r="F82" s="19"/>
    </row>
    <row r="83" ht="15.75" customHeight="1">
      <c r="A83" s="19"/>
      <c r="B83" s="19"/>
      <c r="C83" s="19"/>
      <c r="D83" s="19"/>
      <c r="E83" s="19"/>
      <c r="F83" s="19"/>
    </row>
    <row r="84" ht="15.75" customHeight="1">
      <c r="A84" s="19"/>
      <c r="B84" s="19"/>
      <c r="C84" s="19"/>
      <c r="D84" s="19"/>
      <c r="E84" s="19"/>
      <c r="F84" s="19"/>
    </row>
    <row r="85" ht="15.75" customHeight="1">
      <c r="A85" s="19"/>
      <c r="B85" s="19"/>
      <c r="C85" s="19"/>
      <c r="D85" s="19"/>
      <c r="E85" s="19"/>
      <c r="F85" s="19"/>
    </row>
    <row r="86" ht="15.75" customHeight="1">
      <c r="A86" s="19"/>
      <c r="B86" s="19"/>
      <c r="C86" s="19"/>
      <c r="D86" s="19"/>
      <c r="E86" s="19"/>
      <c r="F86" s="19"/>
    </row>
    <row r="87" ht="15.75" customHeight="1">
      <c r="A87" s="19"/>
      <c r="B87" s="19"/>
      <c r="C87" s="19"/>
      <c r="D87" s="19"/>
      <c r="E87" s="19"/>
      <c r="F87" s="19"/>
    </row>
    <row r="88" ht="15.75" customHeight="1">
      <c r="A88" s="19"/>
      <c r="B88" s="19"/>
      <c r="C88" s="19"/>
      <c r="D88" s="19"/>
      <c r="E88" s="19"/>
      <c r="F88" s="19"/>
    </row>
    <row r="89" ht="15.75" customHeight="1">
      <c r="A89" s="19"/>
      <c r="B89" s="19"/>
      <c r="C89" s="19"/>
      <c r="D89" s="19"/>
      <c r="E89" s="19"/>
      <c r="F89" s="19"/>
    </row>
    <row r="90" ht="15.75" customHeight="1">
      <c r="A90" s="19"/>
      <c r="B90" s="19"/>
      <c r="C90" s="19"/>
      <c r="D90" s="19"/>
      <c r="E90" s="19"/>
      <c r="F90" s="19"/>
    </row>
    <row r="91" ht="15.75" customHeight="1">
      <c r="A91" s="19"/>
      <c r="B91" s="19"/>
      <c r="C91" s="19"/>
      <c r="D91" s="19"/>
      <c r="E91" s="19"/>
      <c r="F91" s="19"/>
    </row>
    <row r="92" ht="15.75" customHeight="1">
      <c r="A92" s="19"/>
      <c r="B92" s="19"/>
      <c r="C92" s="19"/>
      <c r="D92" s="19"/>
      <c r="E92" s="19"/>
      <c r="F92" s="19"/>
    </row>
    <row r="93" ht="15.75" customHeight="1">
      <c r="A93" s="19"/>
      <c r="B93" s="19"/>
      <c r="C93" s="19"/>
      <c r="D93" s="19"/>
      <c r="E93" s="19"/>
      <c r="F93" s="19"/>
    </row>
    <row r="94" ht="15.75" customHeight="1">
      <c r="A94" s="19"/>
      <c r="B94" s="19"/>
      <c r="C94" s="19"/>
      <c r="D94" s="19"/>
      <c r="E94" s="19"/>
      <c r="F94" s="19"/>
    </row>
    <row r="95" ht="15.75" customHeight="1">
      <c r="A95" s="19"/>
      <c r="B95" s="19"/>
      <c r="C95" s="19"/>
      <c r="D95" s="19"/>
      <c r="E95" s="19"/>
      <c r="F95" s="19"/>
    </row>
    <row r="96" ht="15.75" customHeight="1">
      <c r="A96" s="19"/>
      <c r="B96" s="19"/>
      <c r="C96" s="19"/>
      <c r="D96" s="19"/>
      <c r="E96" s="19"/>
      <c r="F96" s="19"/>
    </row>
    <row r="97" ht="15.75" customHeight="1">
      <c r="A97" s="19"/>
      <c r="B97" s="19"/>
      <c r="C97" s="19"/>
      <c r="D97" s="19"/>
      <c r="E97" s="19"/>
      <c r="F97" s="19"/>
    </row>
    <row r="98" ht="15.75" customHeight="1">
      <c r="A98" s="19"/>
      <c r="B98" s="19"/>
      <c r="C98" s="19"/>
      <c r="D98" s="19"/>
      <c r="E98" s="19"/>
      <c r="F98" s="19"/>
    </row>
    <row r="99" ht="15.75" customHeight="1">
      <c r="A99" s="19"/>
      <c r="B99" s="19"/>
      <c r="C99" s="19"/>
      <c r="D99" s="19"/>
      <c r="E99" s="19"/>
      <c r="F99" s="19"/>
    </row>
    <row r="100" ht="15.75" customHeight="1">
      <c r="A100" s="19"/>
      <c r="B100" s="19"/>
      <c r="C100" s="19"/>
      <c r="D100" s="19"/>
      <c r="E100" s="19"/>
      <c r="F100" s="19"/>
    </row>
    <row r="101" ht="15.75" customHeight="1">
      <c r="A101" s="19"/>
      <c r="B101" s="19"/>
      <c r="C101" s="19"/>
      <c r="D101" s="19"/>
      <c r="E101" s="19"/>
      <c r="F101" s="19"/>
    </row>
    <row r="102" ht="15.75" customHeight="1">
      <c r="A102" s="19"/>
      <c r="B102" s="19"/>
      <c r="C102" s="19"/>
      <c r="D102" s="19"/>
      <c r="E102" s="19"/>
      <c r="F102" s="19"/>
    </row>
    <row r="103" ht="15.75" customHeight="1">
      <c r="A103" s="19"/>
      <c r="B103" s="19"/>
      <c r="C103" s="19"/>
      <c r="D103" s="19"/>
      <c r="E103" s="19"/>
      <c r="F103" s="19"/>
    </row>
    <row r="104" ht="15.75" customHeight="1">
      <c r="A104" s="19"/>
      <c r="B104" s="19"/>
      <c r="C104" s="19"/>
      <c r="D104" s="19"/>
      <c r="E104" s="19"/>
      <c r="F104" s="19"/>
    </row>
    <row r="105" ht="15.75" customHeight="1">
      <c r="A105" s="19"/>
      <c r="B105" s="19"/>
      <c r="C105" s="19"/>
      <c r="D105" s="19"/>
      <c r="E105" s="19"/>
      <c r="F105" s="19"/>
    </row>
    <row r="106" ht="15.75" customHeight="1">
      <c r="A106" s="19"/>
      <c r="B106" s="19"/>
      <c r="C106" s="19"/>
      <c r="D106" s="19"/>
      <c r="E106" s="19"/>
      <c r="F106" s="19"/>
    </row>
    <row r="107" ht="15.75" customHeight="1">
      <c r="A107" s="19"/>
      <c r="B107" s="19"/>
      <c r="C107" s="19"/>
      <c r="D107" s="19"/>
      <c r="E107" s="19"/>
      <c r="F107" s="19"/>
    </row>
    <row r="108" ht="15.75" customHeight="1">
      <c r="A108" s="19"/>
      <c r="B108" s="19"/>
      <c r="C108" s="19"/>
      <c r="D108" s="19"/>
      <c r="E108" s="19"/>
      <c r="F108" s="19"/>
    </row>
    <row r="109" ht="15.75" customHeight="1">
      <c r="A109" s="19"/>
      <c r="B109" s="19"/>
      <c r="C109" s="19"/>
      <c r="D109" s="19"/>
      <c r="E109" s="19"/>
      <c r="F109" s="19"/>
    </row>
    <row r="110" ht="15.75" customHeight="1">
      <c r="A110" s="19"/>
      <c r="B110" s="19"/>
      <c r="C110" s="19"/>
      <c r="D110" s="19"/>
      <c r="E110" s="19"/>
      <c r="F110" s="19"/>
    </row>
    <row r="111" ht="15.75" customHeight="1">
      <c r="A111" s="19"/>
      <c r="B111" s="19"/>
      <c r="C111" s="19"/>
      <c r="D111" s="19"/>
      <c r="E111" s="19"/>
      <c r="F111" s="19"/>
    </row>
    <row r="112" ht="15.75" customHeight="1">
      <c r="A112" s="19"/>
      <c r="B112" s="19"/>
      <c r="C112" s="19"/>
      <c r="D112" s="19"/>
      <c r="E112" s="19"/>
      <c r="F112" s="19"/>
    </row>
    <row r="113" ht="15.75" customHeight="1">
      <c r="A113" s="19"/>
      <c r="B113" s="19"/>
      <c r="C113" s="19"/>
      <c r="D113" s="19"/>
      <c r="E113" s="19"/>
      <c r="F113" s="19"/>
    </row>
    <row r="114" ht="15.75" customHeight="1">
      <c r="A114" s="19"/>
      <c r="B114" s="19"/>
      <c r="C114" s="19"/>
      <c r="D114" s="19"/>
      <c r="E114" s="19"/>
      <c r="F114" s="19"/>
    </row>
    <row r="115" ht="15.75" customHeight="1">
      <c r="A115" s="19"/>
      <c r="B115" s="19"/>
      <c r="C115" s="19"/>
      <c r="D115" s="19"/>
      <c r="E115" s="19"/>
      <c r="F115" s="19"/>
    </row>
    <row r="116" ht="15.75" customHeight="1">
      <c r="A116" s="19"/>
      <c r="B116" s="19"/>
      <c r="C116" s="19"/>
      <c r="D116" s="19"/>
      <c r="E116" s="19"/>
      <c r="F116" s="19"/>
    </row>
    <row r="117" ht="15.75" customHeight="1">
      <c r="A117" s="19"/>
      <c r="B117" s="19"/>
      <c r="C117" s="19"/>
      <c r="D117" s="19"/>
      <c r="E117" s="19"/>
      <c r="F117" s="19"/>
    </row>
    <row r="118" ht="15.75" customHeight="1">
      <c r="A118" s="19"/>
      <c r="B118" s="19"/>
      <c r="C118" s="19"/>
      <c r="D118" s="19"/>
      <c r="E118" s="19"/>
      <c r="F118" s="19"/>
    </row>
    <row r="119" ht="15.75" customHeight="1">
      <c r="A119" s="19"/>
      <c r="B119" s="19"/>
      <c r="C119" s="19"/>
      <c r="D119" s="19"/>
      <c r="E119" s="19"/>
      <c r="F119" s="19"/>
    </row>
    <row r="120" ht="15.75" customHeight="1">
      <c r="A120" s="19"/>
      <c r="B120" s="19"/>
      <c r="C120" s="19"/>
      <c r="D120" s="19"/>
      <c r="E120" s="19"/>
      <c r="F120" s="19"/>
    </row>
    <row r="121" ht="15.75" customHeight="1">
      <c r="A121" s="19"/>
      <c r="B121" s="19"/>
      <c r="C121" s="19"/>
      <c r="D121" s="19"/>
      <c r="E121" s="19"/>
      <c r="F121" s="19"/>
    </row>
    <row r="122" ht="15.75" customHeight="1">
      <c r="A122" s="19"/>
      <c r="B122" s="19"/>
      <c r="C122" s="19"/>
      <c r="D122" s="19"/>
      <c r="E122" s="19"/>
      <c r="F122" s="19"/>
    </row>
    <row r="123" ht="15.75" customHeight="1">
      <c r="A123" s="19"/>
      <c r="B123" s="19"/>
      <c r="C123" s="19"/>
      <c r="D123" s="19"/>
      <c r="E123" s="19"/>
      <c r="F123" s="19"/>
    </row>
    <row r="124" ht="15.75" customHeight="1">
      <c r="A124" s="19"/>
      <c r="B124" s="19"/>
      <c r="C124" s="19"/>
      <c r="D124" s="19"/>
      <c r="E124" s="19"/>
      <c r="F124" s="19"/>
    </row>
    <row r="125" ht="15.75" customHeight="1">
      <c r="A125" s="19"/>
      <c r="B125" s="19"/>
      <c r="C125" s="19"/>
      <c r="D125" s="19"/>
      <c r="E125" s="19"/>
      <c r="F125" s="19"/>
    </row>
    <row r="126" ht="15.75" customHeight="1">
      <c r="A126" s="19"/>
      <c r="B126" s="19"/>
      <c r="C126" s="19"/>
      <c r="D126" s="19"/>
      <c r="E126" s="19"/>
      <c r="F126" s="19"/>
    </row>
    <row r="127" ht="15.75" customHeight="1">
      <c r="A127" s="19"/>
      <c r="B127" s="19"/>
      <c r="C127" s="19"/>
      <c r="D127" s="19"/>
      <c r="E127" s="19"/>
      <c r="F127" s="19"/>
    </row>
    <row r="128" ht="15.75" customHeight="1">
      <c r="A128" s="19"/>
      <c r="B128" s="19"/>
      <c r="C128" s="19"/>
      <c r="D128" s="19"/>
      <c r="E128" s="19"/>
      <c r="F128" s="19"/>
    </row>
    <row r="129" ht="15.75" customHeight="1">
      <c r="A129" s="19"/>
      <c r="B129" s="19"/>
      <c r="C129" s="19"/>
      <c r="D129" s="19"/>
      <c r="E129" s="19"/>
      <c r="F129" s="19"/>
    </row>
    <row r="130" ht="15.75" customHeight="1">
      <c r="A130" s="19"/>
      <c r="B130" s="19"/>
      <c r="C130" s="19"/>
      <c r="D130" s="19"/>
      <c r="E130" s="19"/>
      <c r="F130" s="19"/>
    </row>
    <row r="131" ht="15.75" customHeight="1">
      <c r="A131" s="19"/>
      <c r="B131" s="19"/>
      <c r="C131" s="19"/>
      <c r="D131" s="19"/>
      <c r="E131" s="19"/>
      <c r="F131" s="19"/>
    </row>
    <row r="132" ht="15.75" customHeight="1">
      <c r="A132" s="19"/>
      <c r="B132" s="19"/>
      <c r="C132" s="19"/>
      <c r="D132" s="19"/>
      <c r="E132" s="19"/>
      <c r="F132" s="19"/>
    </row>
    <row r="133" ht="15.75" customHeight="1">
      <c r="A133" s="19"/>
      <c r="B133" s="19"/>
      <c r="C133" s="19"/>
      <c r="D133" s="19"/>
      <c r="E133" s="19"/>
      <c r="F133" s="19"/>
    </row>
    <row r="134" ht="15.75" customHeight="1">
      <c r="A134" s="19"/>
      <c r="B134" s="19"/>
      <c r="C134" s="19"/>
      <c r="D134" s="19"/>
      <c r="E134" s="19"/>
      <c r="F134" s="19"/>
    </row>
    <row r="135" ht="15.75" customHeight="1">
      <c r="A135" s="19"/>
      <c r="B135" s="19"/>
      <c r="C135" s="19"/>
      <c r="D135" s="19"/>
      <c r="E135" s="19"/>
      <c r="F135" s="19"/>
    </row>
    <row r="136" ht="15.75" customHeight="1">
      <c r="A136" s="19"/>
      <c r="B136" s="19"/>
      <c r="C136" s="19"/>
      <c r="D136" s="19"/>
      <c r="E136" s="19"/>
      <c r="F136" s="19"/>
    </row>
    <row r="137" ht="15.75" customHeight="1">
      <c r="A137" s="19"/>
      <c r="B137" s="19"/>
      <c r="C137" s="19"/>
      <c r="D137" s="19"/>
      <c r="E137" s="19"/>
      <c r="F137" s="19"/>
    </row>
    <row r="138" ht="15.75" customHeight="1">
      <c r="A138" s="19"/>
      <c r="B138" s="19"/>
      <c r="C138" s="19"/>
      <c r="D138" s="19"/>
      <c r="E138" s="19"/>
      <c r="F138" s="19"/>
    </row>
    <row r="139" ht="15.75" customHeight="1">
      <c r="A139" s="19"/>
      <c r="B139" s="19"/>
      <c r="C139" s="19"/>
      <c r="D139" s="19"/>
      <c r="E139" s="19"/>
      <c r="F139" s="19"/>
    </row>
    <row r="140" ht="15.75" customHeight="1">
      <c r="A140" s="19"/>
      <c r="B140" s="19"/>
      <c r="C140" s="19"/>
      <c r="D140" s="19"/>
      <c r="E140" s="19"/>
      <c r="F140" s="19"/>
    </row>
    <row r="141" ht="15.75" customHeight="1">
      <c r="A141" s="19"/>
      <c r="B141" s="19"/>
      <c r="C141" s="19"/>
      <c r="D141" s="19"/>
      <c r="E141" s="19"/>
      <c r="F141" s="19"/>
    </row>
    <row r="142" ht="15.75" customHeight="1">
      <c r="A142" s="19"/>
      <c r="B142" s="19"/>
      <c r="C142" s="19"/>
      <c r="D142" s="19"/>
      <c r="E142" s="19"/>
      <c r="F142" s="19"/>
    </row>
    <row r="143" ht="15.75" customHeight="1">
      <c r="A143" s="19"/>
      <c r="B143" s="19"/>
      <c r="C143" s="19"/>
      <c r="D143" s="19"/>
      <c r="E143" s="19"/>
      <c r="F143" s="19"/>
    </row>
    <row r="144" ht="15.75" customHeight="1">
      <c r="A144" s="19"/>
      <c r="B144" s="19"/>
      <c r="C144" s="19"/>
      <c r="D144" s="19"/>
      <c r="E144" s="19"/>
      <c r="F144" s="19"/>
    </row>
    <row r="145" ht="15.75" customHeight="1">
      <c r="A145" s="19"/>
      <c r="B145" s="19"/>
      <c r="C145" s="19"/>
      <c r="D145" s="19"/>
      <c r="E145" s="19"/>
      <c r="F145" s="19"/>
    </row>
    <row r="146" ht="15.75" customHeight="1">
      <c r="A146" s="19"/>
      <c r="B146" s="19"/>
      <c r="C146" s="19"/>
      <c r="D146" s="19"/>
      <c r="E146" s="19"/>
      <c r="F146" s="19"/>
    </row>
    <row r="147" ht="15.75" customHeight="1">
      <c r="A147" s="19"/>
      <c r="B147" s="19"/>
      <c r="C147" s="19"/>
      <c r="D147" s="19"/>
      <c r="E147" s="19"/>
      <c r="F147" s="19"/>
    </row>
    <row r="148" ht="15.75" customHeight="1">
      <c r="A148" s="19"/>
      <c r="B148" s="19"/>
      <c r="C148" s="19"/>
      <c r="D148" s="19"/>
      <c r="E148" s="19"/>
      <c r="F148" s="19"/>
    </row>
    <row r="149" ht="15.75" customHeight="1">
      <c r="A149" s="19"/>
      <c r="B149" s="19"/>
      <c r="C149" s="19"/>
      <c r="D149" s="19"/>
      <c r="E149" s="19"/>
      <c r="F149" s="19"/>
    </row>
    <row r="150" ht="15.75" customHeight="1">
      <c r="A150" s="19"/>
      <c r="B150" s="19"/>
      <c r="C150" s="19"/>
      <c r="D150" s="19"/>
      <c r="E150" s="19"/>
      <c r="F150" s="19"/>
    </row>
    <row r="151" ht="15.75" customHeight="1">
      <c r="A151" s="19"/>
      <c r="B151" s="19"/>
      <c r="C151" s="19"/>
      <c r="D151" s="19"/>
      <c r="E151" s="19"/>
      <c r="F151" s="19"/>
    </row>
    <row r="152" ht="15.75" customHeight="1">
      <c r="A152" s="19"/>
      <c r="B152" s="19"/>
      <c r="C152" s="19"/>
      <c r="D152" s="19"/>
      <c r="E152" s="19"/>
      <c r="F152" s="19"/>
    </row>
    <row r="153" ht="15.75" customHeight="1">
      <c r="A153" s="19"/>
      <c r="B153" s="19"/>
      <c r="C153" s="19"/>
      <c r="D153" s="19"/>
      <c r="E153" s="19"/>
      <c r="F153" s="19"/>
    </row>
    <row r="154" ht="15.75" customHeight="1">
      <c r="A154" s="19"/>
      <c r="B154" s="19"/>
      <c r="C154" s="19"/>
      <c r="D154" s="19"/>
      <c r="E154" s="19"/>
      <c r="F154" s="19"/>
    </row>
    <row r="155" ht="15.75" customHeight="1">
      <c r="A155" s="19"/>
      <c r="B155" s="19"/>
      <c r="C155" s="19"/>
      <c r="D155" s="19"/>
      <c r="E155" s="19"/>
      <c r="F155" s="19"/>
    </row>
    <row r="156" ht="15.75" customHeight="1">
      <c r="A156" s="19"/>
      <c r="B156" s="19"/>
      <c r="C156" s="19"/>
      <c r="D156" s="19"/>
      <c r="E156" s="19"/>
      <c r="F156" s="19"/>
    </row>
    <row r="157" ht="15.75" customHeight="1">
      <c r="A157" s="19"/>
      <c r="B157" s="19"/>
      <c r="C157" s="19"/>
      <c r="D157" s="19"/>
      <c r="E157" s="19"/>
      <c r="F157" s="19"/>
    </row>
    <row r="158" ht="15.75" customHeight="1">
      <c r="A158" s="19"/>
      <c r="B158" s="19"/>
      <c r="C158" s="19"/>
      <c r="D158" s="19"/>
      <c r="E158" s="19"/>
      <c r="F158" s="19"/>
    </row>
    <row r="159" ht="15.75" customHeight="1">
      <c r="A159" s="19"/>
      <c r="B159" s="19"/>
      <c r="C159" s="19"/>
      <c r="D159" s="19"/>
      <c r="E159" s="19"/>
      <c r="F159" s="19"/>
    </row>
    <row r="160" ht="15.75" customHeight="1">
      <c r="A160" s="19"/>
      <c r="B160" s="19"/>
      <c r="C160" s="19"/>
      <c r="D160" s="19"/>
      <c r="E160" s="19"/>
      <c r="F160" s="19"/>
    </row>
    <row r="161" ht="15.75" customHeight="1">
      <c r="A161" s="19"/>
      <c r="B161" s="19"/>
      <c r="C161" s="19"/>
      <c r="D161" s="19"/>
      <c r="E161" s="19"/>
      <c r="F161" s="19"/>
    </row>
    <row r="162" ht="15.75" customHeight="1">
      <c r="A162" s="19"/>
      <c r="B162" s="19"/>
      <c r="C162" s="19"/>
      <c r="D162" s="19"/>
      <c r="E162" s="19"/>
      <c r="F162" s="19"/>
    </row>
    <row r="163" ht="15.75" customHeight="1">
      <c r="A163" s="19"/>
      <c r="B163" s="19"/>
      <c r="C163" s="19"/>
      <c r="D163" s="19"/>
      <c r="E163" s="19"/>
      <c r="F163" s="19"/>
    </row>
    <row r="164" ht="15.75" customHeight="1">
      <c r="A164" s="19"/>
      <c r="B164" s="19"/>
      <c r="C164" s="19"/>
      <c r="D164" s="19"/>
      <c r="E164" s="19"/>
      <c r="F164" s="19"/>
    </row>
    <row r="165" ht="15.75" customHeight="1">
      <c r="A165" s="19"/>
      <c r="B165" s="19"/>
      <c r="C165" s="19"/>
      <c r="D165" s="19"/>
      <c r="E165" s="19"/>
      <c r="F165" s="19"/>
    </row>
    <row r="166" ht="15.75" customHeight="1">
      <c r="A166" s="19"/>
      <c r="B166" s="19"/>
      <c r="C166" s="19"/>
      <c r="D166" s="19"/>
      <c r="E166" s="19"/>
      <c r="F166" s="19"/>
    </row>
    <row r="167" ht="15.75" customHeight="1">
      <c r="A167" s="19"/>
      <c r="B167" s="19"/>
      <c r="C167" s="19"/>
      <c r="D167" s="19"/>
      <c r="E167" s="19"/>
      <c r="F167" s="19"/>
    </row>
    <row r="168" ht="15.75" customHeight="1">
      <c r="A168" s="19"/>
      <c r="B168" s="19"/>
      <c r="C168" s="19"/>
      <c r="D168" s="19"/>
      <c r="E168" s="19"/>
      <c r="F168" s="19"/>
    </row>
    <row r="169" ht="15.75" customHeight="1">
      <c r="A169" s="19"/>
      <c r="B169" s="19"/>
      <c r="C169" s="19"/>
      <c r="D169" s="19"/>
      <c r="E169" s="19"/>
      <c r="F169" s="19"/>
    </row>
    <row r="170" ht="15.75" customHeight="1">
      <c r="A170" s="19"/>
      <c r="B170" s="19"/>
      <c r="C170" s="19"/>
      <c r="D170" s="19"/>
      <c r="E170" s="19"/>
      <c r="F170" s="19"/>
    </row>
    <row r="171" ht="15.75" customHeight="1">
      <c r="A171" s="19"/>
      <c r="B171" s="19"/>
      <c r="C171" s="19"/>
      <c r="D171" s="19"/>
      <c r="E171" s="19"/>
      <c r="F171" s="19"/>
    </row>
    <row r="172" ht="15.75" customHeight="1">
      <c r="A172" s="19"/>
      <c r="B172" s="19"/>
      <c r="C172" s="19"/>
      <c r="D172" s="19"/>
      <c r="E172" s="19"/>
      <c r="F172" s="19"/>
    </row>
    <row r="173" ht="15.75" customHeight="1">
      <c r="A173" s="19"/>
      <c r="B173" s="19"/>
      <c r="C173" s="19"/>
      <c r="D173" s="19"/>
      <c r="E173" s="19"/>
      <c r="F173" s="19"/>
    </row>
    <row r="174" ht="15.75" customHeight="1">
      <c r="A174" s="19"/>
      <c r="B174" s="19"/>
      <c r="C174" s="19"/>
      <c r="D174" s="19"/>
      <c r="E174" s="19"/>
      <c r="F174" s="19"/>
    </row>
    <row r="175" ht="15.75" customHeight="1">
      <c r="A175" s="19"/>
      <c r="B175" s="19"/>
      <c r="C175" s="19"/>
      <c r="D175" s="19"/>
      <c r="E175" s="19"/>
      <c r="F175" s="19"/>
    </row>
    <row r="176" ht="15.75" customHeight="1">
      <c r="A176" s="19"/>
      <c r="B176" s="19"/>
      <c r="C176" s="19"/>
      <c r="D176" s="19"/>
      <c r="E176" s="19"/>
      <c r="F176" s="19"/>
    </row>
    <row r="177" ht="15.75" customHeight="1">
      <c r="A177" s="19"/>
      <c r="B177" s="19"/>
      <c r="C177" s="19"/>
      <c r="D177" s="19"/>
      <c r="E177" s="19"/>
      <c r="F177" s="19"/>
    </row>
    <row r="178" ht="15.75" customHeight="1">
      <c r="A178" s="19"/>
      <c r="B178" s="19"/>
      <c r="C178" s="19"/>
      <c r="D178" s="19"/>
      <c r="E178" s="19"/>
      <c r="F178" s="19"/>
    </row>
    <row r="179" ht="15.75" customHeight="1">
      <c r="A179" s="19"/>
      <c r="B179" s="19"/>
      <c r="C179" s="19"/>
      <c r="D179" s="19"/>
      <c r="E179" s="19"/>
      <c r="F179" s="19"/>
    </row>
    <row r="180" ht="15.75" customHeight="1">
      <c r="A180" s="19"/>
      <c r="B180" s="19"/>
      <c r="C180" s="19"/>
      <c r="D180" s="19"/>
      <c r="E180" s="19"/>
      <c r="F180" s="19"/>
    </row>
    <row r="181" ht="15.75" customHeight="1">
      <c r="A181" s="19"/>
      <c r="B181" s="19"/>
      <c r="C181" s="19"/>
      <c r="D181" s="19"/>
      <c r="E181" s="19"/>
      <c r="F181" s="19"/>
    </row>
    <row r="182" ht="15.75" customHeight="1">
      <c r="A182" s="19"/>
      <c r="B182" s="19"/>
      <c r="C182" s="19"/>
      <c r="D182" s="19"/>
      <c r="E182" s="19"/>
      <c r="F182" s="19"/>
    </row>
    <row r="183" ht="15.75" customHeight="1">
      <c r="A183" s="19"/>
      <c r="B183" s="19"/>
      <c r="C183" s="19"/>
      <c r="D183" s="19"/>
      <c r="E183" s="19"/>
      <c r="F183" s="19"/>
    </row>
    <row r="184" ht="15.75" customHeight="1">
      <c r="A184" s="19"/>
      <c r="B184" s="19"/>
      <c r="C184" s="19"/>
      <c r="D184" s="19"/>
      <c r="E184" s="19"/>
      <c r="F184" s="19"/>
    </row>
    <row r="185" ht="15.75" customHeight="1">
      <c r="A185" s="19"/>
      <c r="B185" s="19"/>
      <c r="C185" s="19"/>
      <c r="D185" s="19"/>
      <c r="E185" s="19"/>
      <c r="F185" s="19"/>
    </row>
    <row r="186" ht="15.75" customHeight="1">
      <c r="A186" s="19"/>
      <c r="B186" s="19"/>
      <c r="C186" s="19"/>
      <c r="D186" s="19"/>
      <c r="E186" s="19"/>
      <c r="F186" s="19"/>
    </row>
    <row r="187" ht="15.75" customHeight="1">
      <c r="A187" s="19"/>
      <c r="B187" s="19"/>
      <c r="C187" s="19"/>
      <c r="D187" s="19"/>
      <c r="E187" s="19"/>
      <c r="F187" s="19"/>
    </row>
    <row r="188" ht="15.75" customHeight="1">
      <c r="A188" s="19"/>
      <c r="B188" s="19"/>
      <c r="C188" s="19"/>
      <c r="D188" s="19"/>
      <c r="E188" s="19"/>
      <c r="F188" s="19"/>
    </row>
    <row r="189" ht="15.75" customHeight="1">
      <c r="A189" s="19"/>
      <c r="B189" s="19"/>
      <c r="C189" s="19"/>
      <c r="D189" s="19"/>
      <c r="E189" s="19"/>
      <c r="F189" s="19"/>
    </row>
    <row r="190" ht="15.75" customHeight="1">
      <c r="A190" s="19"/>
      <c r="B190" s="19"/>
      <c r="C190" s="19"/>
      <c r="D190" s="19"/>
      <c r="E190" s="19"/>
      <c r="F190" s="19"/>
    </row>
    <row r="191" ht="15.75" customHeight="1">
      <c r="A191" s="19"/>
      <c r="B191" s="19"/>
      <c r="C191" s="19"/>
      <c r="D191" s="19"/>
      <c r="E191" s="19"/>
      <c r="F191" s="19"/>
    </row>
    <row r="192" ht="15.75" customHeight="1">
      <c r="A192" s="19"/>
      <c r="B192" s="19"/>
      <c r="C192" s="19"/>
      <c r="D192" s="19"/>
      <c r="E192" s="19"/>
      <c r="F192" s="19"/>
    </row>
    <row r="193" ht="15.75" customHeight="1">
      <c r="A193" s="19"/>
      <c r="B193" s="19"/>
      <c r="C193" s="19"/>
      <c r="D193" s="19"/>
      <c r="E193" s="19"/>
      <c r="F193" s="19"/>
    </row>
    <row r="194" ht="15.75" customHeight="1">
      <c r="A194" s="19"/>
      <c r="B194" s="19"/>
      <c r="C194" s="19"/>
      <c r="D194" s="19"/>
      <c r="E194" s="19"/>
      <c r="F194" s="19"/>
    </row>
    <row r="195" ht="15.75" customHeight="1">
      <c r="A195" s="19"/>
      <c r="B195" s="19"/>
      <c r="C195" s="19"/>
      <c r="D195" s="19"/>
      <c r="E195" s="19"/>
      <c r="F195" s="19"/>
    </row>
    <row r="196" ht="15.75" customHeight="1">
      <c r="A196" s="19"/>
      <c r="B196" s="19"/>
      <c r="C196" s="19"/>
      <c r="D196" s="19"/>
      <c r="E196" s="19"/>
      <c r="F196" s="19"/>
    </row>
    <row r="197" ht="15.75" customHeight="1">
      <c r="A197" s="19"/>
      <c r="B197" s="19"/>
      <c r="C197" s="19"/>
      <c r="D197" s="19"/>
      <c r="E197" s="19"/>
      <c r="F197" s="19"/>
    </row>
    <row r="198" ht="15.75" customHeight="1">
      <c r="A198" s="19"/>
      <c r="B198" s="19"/>
      <c r="C198" s="19"/>
      <c r="D198" s="19"/>
      <c r="E198" s="19"/>
      <c r="F198" s="19"/>
    </row>
    <row r="199" ht="15.75" customHeight="1">
      <c r="A199" s="19"/>
      <c r="B199" s="19"/>
      <c r="C199" s="19"/>
      <c r="D199" s="19"/>
      <c r="E199" s="19"/>
      <c r="F199" s="19"/>
    </row>
    <row r="200" ht="15.75" customHeight="1">
      <c r="A200" s="19"/>
      <c r="B200" s="19"/>
      <c r="C200" s="19"/>
      <c r="D200" s="19"/>
      <c r="E200" s="19"/>
      <c r="F200" s="19"/>
    </row>
    <row r="201" ht="15.75" customHeight="1">
      <c r="A201" s="19"/>
      <c r="B201" s="19"/>
      <c r="C201" s="19"/>
      <c r="D201" s="19"/>
      <c r="E201" s="19"/>
      <c r="F201" s="19"/>
    </row>
    <row r="202" ht="15.75" customHeight="1">
      <c r="A202" s="19"/>
      <c r="B202" s="19"/>
      <c r="C202" s="19"/>
      <c r="D202" s="19"/>
      <c r="E202" s="19"/>
      <c r="F202" s="19"/>
    </row>
    <row r="203" ht="15.75" customHeight="1">
      <c r="A203" s="19"/>
      <c r="B203" s="19"/>
      <c r="C203" s="19"/>
      <c r="D203" s="19"/>
      <c r="E203" s="19"/>
      <c r="F203" s="19"/>
    </row>
    <row r="204" ht="15.75" customHeight="1">
      <c r="A204" s="19"/>
      <c r="B204" s="19"/>
      <c r="C204" s="19"/>
      <c r="D204" s="19"/>
      <c r="E204" s="19"/>
      <c r="F204" s="19"/>
    </row>
    <row r="205" ht="15.75" customHeight="1">
      <c r="A205" s="19"/>
      <c r="B205" s="19"/>
      <c r="C205" s="19"/>
      <c r="D205" s="19"/>
      <c r="E205" s="19"/>
      <c r="F205" s="19"/>
    </row>
    <row r="206" ht="15.75" customHeight="1">
      <c r="A206" s="19"/>
      <c r="B206" s="19"/>
      <c r="C206" s="19"/>
      <c r="D206" s="19"/>
      <c r="E206" s="19"/>
      <c r="F206" s="19"/>
    </row>
    <row r="207" ht="15.75" customHeight="1">
      <c r="A207" s="19"/>
      <c r="B207" s="19"/>
      <c r="C207" s="19"/>
      <c r="D207" s="19"/>
      <c r="E207" s="19"/>
      <c r="F207" s="19"/>
    </row>
    <row r="208" ht="15.75" customHeight="1">
      <c r="A208" s="19"/>
      <c r="B208" s="19"/>
      <c r="C208" s="19"/>
      <c r="D208" s="19"/>
      <c r="E208" s="19"/>
      <c r="F208" s="19"/>
    </row>
    <row r="209" ht="15.75" customHeight="1">
      <c r="A209" s="19"/>
      <c r="B209" s="19"/>
      <c r="C209" s="19"/>
      <c r="D209" s="19"/>
      <c r="E209" s="19"/>
      <c r="F209" s="19"/>
    </row>
    <row r="210" ht="15.75" customHeight="1">
      <c r="A210" s="19"/>
      <c r="B210" s="19"/>
      <c r="C210" s="19"/>
      <c r="D210" s="19"/>
      <c r="E210" s="19"/>
      <c r="F210" s="19"/>
    </row>
    <row r="211" ht="15.75" customHeight="1">
      <c r="A211" s="19"/>
      <c r="B211" s="19"/>
      <c r="C211" s="19"/>
      <c r="D211" s="19"/>
      <c r="E211" s="19"/>
      <c r="F211" s="19"/>
    </row>
    <row r="212" ht="15.75" customHeight="1">
      <c r="A212" s="19"/>
      <c r="B212" s="19"/>
      <c r="C212" s="19"/>
      <c r="D212" s="19"/>
      <c r="E212" s="19"/>
      <c r="F212" s="19"/>
    </row>
    <row r="213" ht="15.75" customHeight="1">
      <c r="A213" s="19"/>
      <c r="B213" s="19"/>
      <c r="C213" s="19"/>
      <c r="D213" s="19"/>
      <c r="E213" s="19"/>
      <c r="F213" s="19"/>
    </row>
    <row r="214" ht="15.75" customHeight="1">
      <c r="A214" s="19"/>
      <c r="B214" s="19"/>
      <c r="C214" s="19"/>
      <c r="D214" s="19"/>
      <c r="E214" s="19"/>
      <c r="F214" s="19"/>
    </row>
    <row r="215" ht="15.75" customHeight="1">
      <c r="A215" s="19"/>
      <c r="B215" s="19"/>
      <c r="C215" s="19"/>
      <c r="D215" s="19"/>
      <c r="E215" s="19"/>
      <c r="F215" s="19"/>
    </row>
    <row r="216" ht="15.75" customHeight="1">
      <c r="A216" s="19"/>
      <c r="B216" s="19"/>
      <c r="C216" s="19"/>
      <c r="D216" s="19"/>
      <c r="E216" s="19"/>
      <c r="F216" s="19"/>
    </row>
    <row r="217" ht="15.75" customHeight="1">
      <c r="A217" s="19"/>
      <c r="B217" s="19"/>
      <c r="C217" s="19"/>
      <c r="D217" s="19"/>
      <c r="E217" s="19"/>
      <c r="F217" s="19"/>
    </row>
    <row r="218" ht="15.75" customHeight="1">
      <c r="A218" s="19"/>
      <c r="B218" s="19"/>
      <c r="C218" s="19"/>
      <c r="D218" s="19"/>
      <c r="E218" s="19"/>
      <c r="F218" s="19"/>
    </row>
    <row r="219" ht="15.75" customHeight="1">
      <c r="A219" s="19"/>
      <c r="B219" s="19"/>
      <c r="C219" s="19"/>
      <c r="D219" s="19"/>
      <c r="E219" s="19"/>
      <c r="F219" s="19"/>
    </row>
    <row r="220" ht="15.75" customHeight="1">
      <c r="A220" s="19"/>
      <c r="B220" s="19"/>
      <c r="C220" s="19"/>
      <c r="D220" s="19"/>
      <c r="E220" s="19"/>
      <c r="F220" s="19"/>
    </row>
    <row r="221" ht="15.75" customHeight="1">
      <c r="A221" s="19"/>
      <c r="B221" s="19"/>
      <c r="C221" s="19"/>
      <c r="D221" s="19"/>
      <c r="E221" s="19"/>
      <c r="F221" s="19"/>
    </row>
    <row r="222" ht="15.75" customHeight="1">
      <c r="A222" s="19"/>
      <c r="B222" s="19"/>
      <c r="C222" s="19"/>
      <c r="D222" s="19"/>
      <c r="E222" s="19"/>
      <c r="F222" s="19"/>
    </row>
    <row r="223" ht="15.75" customHeight="1">
      <c r="A223" s="19"/>
      <c r="B223" s="19"/>
      <c r="C223" s="19"/>
      <c r="D223" s="19"/>
      <c r="E223" s="19"/>
      <c r="F223" s="19"/>
    </row>
    <row r="224" ht="15.75" customHeight="1">
      <c r="A224" s="19"/>
      <c r="B224" s="19"/>
      <c r="C224" s="19"/>
      <c r="D224" s="19"/>
      <c r="E224" s="19"/>
      <c r="F224" s="19"/>
    </row>
    <row r="225" ht="15.75" customHeight="1">
      <c r="A225" s="19"/>
      <c r="B225" s="19"/>
      <c r="C225" s="19"/>
      <c r="D225" s="19"/>
      <c r="E225" s="19"/>
      <c r="F225" s="19"/>
    </row>
    <row r="226" ht="15.75" customHeight="1">
      <c r="A226" s="19"/>
      <c r="B226" s="19"/>
      <c r="C226" s="19"/>
      <c r="D226" s="19"/>
      <c r="E226" s="19"/>
      <c r="F226" s="19"/>
    </row>
    <row r="227" ht="15.75" customHeight="1">
      <c r="A227" s="19"/>
      <c r="B227" s="19"/>
      <c r="C227" s="19"/>
      <c r="D227" s="19"/>
      <c r="E227" s="19"/>
      <c r="F227" s="19"/>
    </row>
    <row r="228" ht="15.75" customHeight="1">
      <c r="A228" s="19"/>
      <c r="B228" s="19"/>
      <c r="C228" s="19"/>
      <c r="D228" s="19"/>
      <c r="E228" s="19"/>
      <c r="F228" s="19"/>
    </row>
    <row r="229" ht="15.75" customHeight="1">
      <c r="A229" s="19"/>
      <c r="B229" s="19"/>
      <c r="C229" s="19"/>
      <c r="D229" s="19"/>
      <c r="E229" s="19"/>
      <c r="F229" s="19"/>
    </row>
    <row r="230" ht="15.75" customHeight="1">
      <c r="A230" s="19"/>
      <c r="B230" s="19"/>
      <c r="C230" s="19"/>
      <c r="D230" s="19"/>
      <c r="E230" s="19"/>
      <c r="F230" s="19"/>
    </row>
    <row r="231" ht="15.75" customHeight="1">
      <c r="A231" s="19"/>
      <c r="B231" s="19"/>
      <c r="C231" s="19"/>
      <c r="D231" s="19"/>
      <c r="E231" s="19"/>
      <c r="F231" s="19"/>
    </row>
    <row r="232" ht="15.75" customHeight="1">
      <c r="A232" s="19"/>
      <c r="B232" s="19"/>
      <c r="C232" s="19"/>
      <c r="D232" s="19"/>
      <c r="E232" s="19"/>
      <c r="F232" s="19"/>
    </row>
    <row r="233" ht="15.75" customHeight="1">
      <c r="A233" s="19"/>
      <c r="B233" s="19"/>
      <c r="C233" s="19"/>
      <c r="D233" s="19"/>
      <c r="E233" s="19"/>
      <c r="F233" s="19"/>
    </row>
    <row r="234" ht="15.75" customHeight="1">
      <c r="A234" s="19"/>
      <c r="B234" s="19"/>
      <c r="C234" s="19"/>
      <c r="D234" s="19"/>
      <c r="E234" s="19"/>
      <c r="F234" s="19"/>
    </row>
    <row r="235" ht="15.75" customHeight="1">
      <c r="A235" s="19"/>
      <c r="B235" s="19"/>
      <c r="C235" s="19"/>
      <c r="D235" s="19"/>
      <c r="E235" s="19"/>
      <c r="F235" s="19"/>
    </row>
    <row r="236" ht="15.75" customHeight="1">
      <c r="A236" s="19"/>
      <c r="B236" s="19"/>
      <c r="C236" s="19"/>
      <c r="D236" s="19"/>
      <c r="E236" s="19"/>
      <c r="F236" s="19"/>
    </row>
    <row r="237" ht="15.75" customHeight="1">
      <c r="A237" s="19"/>
      <c r="B237" s="19"/>
      <c r="C237" s="19"/>
      <c r="D237" s="19"/>
      <c r="E237" s="19"/>
      <c r="F237" s="19"/>
    </row>
    <row r="238" ht="15.75" customHeight="1">
      <c r="A238" s="19"/>
      <c r="B238" s="19"/>
      <c r="C238" s="19"/>
      <c r="D238" s="19"/>
      <c r="E238" s="19"/>
      <c r="F238" s="19"/>
    </row>
    <row r="239" ht="15.75" customHeight="1">
      <c r="A239" s="19"/>
      <c r="B239" s="19"/>
      <c r="C239" s="19"/>
      <c r="D239" s="19"/>
      <c r="E239" s="19"/>
      <c r="F239" s="19"/>
    </row>
    <row r="240" ht="15.75" customHeight="1">
      <c r="A240" s="19"/>
      <c r="B240" s="19"/>
      <c r="C240" s="19"/>
      <c r="D240" s="19"/>
      <c r="E240" s="19"/>
      <c r="F240" s="19"/>
    </row>
    <row r="241" ht="15.75" customHeight="1">
      <c r="A241" s="19"/>
      <c r="B241" s="19"/>
      <c r="C241" s="19"/>
      <c r="D241" s="19"/>
      <c r="E241" s="19"/>
      <c r="F241" s="19"/>
    </row>
    <row r="242" ht="15.75" customHeight="1">
      <c r="A242" s="19"/>
      <c r="B242" s="19"/>
      <c r="C242" s="19"/>
      <c r="D242" s="19"/>
      <c r="E242" s="19"/>
      <c r="F242" s="19"/>
    </row>
    <row r="243" ht="15.75" customHeight="1">
      <c r="A243" s="19"/>
      <c r="B243" s="19"/>
      <c r="C243" s="19"/>
      <c r="D243" s="19"/>
      <c r="E243" s="19"/>
      <c r="F243" s="19"/>
    </row>
    <row r="244" ht="15.75" customHeight="1">
      <c r="A244" s="19"/>
      <c r="B244" s="19"/>
      <c r="C244" s="19"/>
      <c r="D244" s="19"/>
      <c r="E244" s="19"/>
      <c r="F244" s="19"/>
    </row>
    <row r="245" ht="15.75" customHeight="1">
      <c r="A245" s="19"/>
      <c r="B245" s="19"/>
      <c r="C245" s="19"/>
      <c r="D245" s="19"/>
      <c r="E245" s="19"/>
      <c r="F245" s="19"/>
    </row>
    <row r="246" ht="15.75" customHeight="1">
      <c r="A246" s="19"/>
      <c r="B246" s="19"/>
      <c r="C246" s="19"/>
      <c r="D246" s="19"/>
      <c r="E246" s="19"/>
      <c r="F246" s="19"/>
    </row>
    <row r="247" ht="15.75" customHeight="1">
      <c r="A247" s="19"/>
      <c r="B247" s="19"/>
      <c r="C247" s="19"/>
      <c r="D247" s="19"/>
      <c r="E247" s="19"/>
      <c r="F247" s="19"/>
    </row>
    <row r="248" ht="15.75" customHeight="1">
      <c r="A248" s="19"/>
      <c r="B248" s="19"/>
      <c r="C248" s="19"/>
      <c r="D248" s="19"/>
      <c r="E248" s="19"/>
      <c r="F248" s="19"/>
    </row>
    <row r="249" ht="15.75" customHeight="1">
      <c r="A249" s="19"/>
      <c r="B249" s="19"/>
      <c r="C249" s="19"/>
      <c r="D249" s="19"/>
      <c r="E249" s="19"/>
      <c r="F249" s="19"/>
    </row>
    <row r="250" ht="15.75" customHeight="1">
      <c r="A250" s="19"/>
      <c r="B250" s="19"/>
      <c r="C250" s="19"/>
      <c r="D250" s="19"/>
      <c r="E250" s="19"/>
      <c r="F250" s="19"/>
    </row>
    <row r="251" ht="15.75" customHeight="1">
      <c r="A251" s="19"/>
      <c r="B251" s="19"/>
      <c r="C251" s="19"/>
      <c r="D251" s="19"/>
      <c r="E251" s="19"/>
      <c r="F251" s="19"/>
    </row>
    <row r="252" ht="15.75" customHeight="1">
      <c r="A252" s="19"/>
      <c r="B252" s="19"/>
      <c r="C252" s="19"/>
      <c r="D252" s="19"/>
      <c r="E252" s="19"/>
      <c r="F252" s="19"/>
    </row>
    <row r="253" ht="15.75" customHeight="1">
      <c r="A253" s="19"/>
      <c r="B253" s="19"/>
      <c r="C253" s="19"/>
      <c r="D253" s="19"/>
      <c r="E253" s="19"/>
      <c r="F253" s="19"/>
    </row>
    <row r="254" ht="15.75" customHeight="1">
      <c r="A254" s="19"/>
      <c r="B254" s="19"/>
      <c r="C254" s="19"/>
      <c r="D254" s="19"/>
      <c r="E254" s="19"/>
      <c r="F254" s="19"/>
    </row>
    <row r="255" ht="15.75" customHeight="1">
      <c r="A255" s="19"/>
      <c r="B255" s="19"/>
      <c r="C255" s="19"/>
      <c r="D255" s="19"/>
      <c r="E255" s="19"/>
      <c r="F255" s="19"/>
    </row>
    <row r="256" ht="15.75" customHeight="1">
      <c r="A256" s="19"/>
      <c r="B256" s="19"/>
      <c r="C256" s="19"/>
      <c r="D256" s="19"/>
      <c r="E256" s="19"/>
      <c r="F256" s="19"/>
    </row>
    <row r="257" ht="15.75" customHeight="1">
      <c r="A257" s="19"/>
      <c r="B257" s="19"/>
      <c r="C257" s="19"/>
      <c r="D257" s="19"/>
      <c r="E257" s="19"/>
      <c r="F257" s="19"/>
    </row>
    <row r="258" ht="15.75" customHeight="1">
      <c r="A258" s="19"/>
      <c r="B258" s="19"/>
      <c r="C258" s="19"/>
      <c r="D258" s="19"/>
      <c r="E258" s="19"/>
      <c r="F258" s="19"/>
    </row>
    <row r="259" ht="15.75" customHeight="1">
      <c r="A259" s="19"/>
      <c r="B259" s="19"/>
      <c r="C259" s="19"/>
      <c r="D259" s="19"/>
      <c r="E259" s="19"/>
      <c r="F259" s="19"/>
    </row>
    <row r="260" ht="15.75" customHeight="1">
      <c r="A260" s="19"/>
      <c r="B260" s="19"/>
      <c r="C260" s="19"/>
      <c r="D260" s="19"/>
      <c r="E260" s="19"/>
      <c r="F260" s="19"/>
    </row>
    <row r="261" ht="15.75" customHeight="1">
      <c r="A261" s="19"/>
      <c r="B261" s="19"/>
      <c r="C261" s="19"/>
      <c r="D261" s="19"/>
      <c r="E261" s="19"/>
      <c r="F261" s="19"/>
    </row>
    <row r="262" ht="15.75" customHeight="1">
      <c r="A262" s="19"/>
      <c r="B262" s="19"/>
      <c r="C262" s="19"/>
      <c r="D262" s="19"/>
      <c r="E262" s="19"/>
      <c r="F262" s="19"/>
    </row>
    <row r="263" ht="15.75" customHeight="1">
      <c r="A263" s="19"/>
      <c r="B263" s="19"/>
      <c r="C263" s="19"/>
      <c r="D263" s="19"/>
      <c r="E263" s="19"/>
      <c r="F263" s="19"/>
    </row>
    <row r="264" ht="15.75" customHeight="1">
      <c r="A264" s="19"/>
      <c r="B264" s="19"/>
      <c r="C264" s="19"/>
      <c r="D264" s="19"/>
      <c r="E264" s="19"/>
      <c r="F264" s="19"/>
    </row>
    <row r="265" ht="15.75" customHeight="1">
      <c r="A265" s="19"/>
      <c r="B265" s="19"/>
      <c r="C265" s="19"/>
      <c r="D265" s="19"/>
      <c r="E265" s="19"/>
      <c r="F265" s="19"/>
    </row>
    <row r="266" ht="15.75" customHeight="1">
      <c r="A266" s="19"/>
      <c r="B266" s="19"/>
      <c r="C266" s="19"/>
      <c r="D266" s="19"/>
      <c r="E266" s="19"/>
      <c r="F266" s="19"/>
    </row>
    <row r="267" ht="15.75" customHeight="1">
      <c r="A267" s="19"/>
      <c r="B267" s="19"/>
      <c r="C267" s="19"/>
      <c r="D267" s="19"/>
      <c r="E267" s="19"/>
      <c r="F267" s="19"/>
    </row>
    <row r="268" ht="15.75" customHeight="1">
      <c r="A268" s="19"/>
      <c r="B268" s="19"/>
      <c r="C268" s="19"/>
      <c r="D268" s="19"/>
      <c r="E268" s="19"/>
      <c r="F268" s="19"/>
    </row>
    <row r="269" ht="15.75" customHeight="1">
      <c r="A269" s="19"/>
      <c r="B269" s="19"/>
      <c r="C269" s="19"/>
      <c r="D269" s="19"/>
      <c r="E269" s="19"/>
      <c r="F269" s="19"/>
    </row>
    <row r="270" ht="15.75" customHeight="1">
      <c r="A270" s="19"/>
      <c r="B270" s="19"/>
      <c r="C270" s="19"/>
      <c r="D270" s="19"/>
      <c r="E270" s="19"/>
      <c r="F270" s="19"/>
    </row>
    <row r="271" ht="15.75" customHeight="1">
      <c r="A271" s="19"/>
      <c r="B271" s="19"/>
      <c r="C271" s="19"/>
      <c r="D271" s="19"/>
      <c r="E271" s="19"/>
      <c r="F271" s="19"/>
    </row>
    <row r="272" ht="15.75" customHeight="1">
      <c r="A272" s="19"/>
      <c r="B272" s="19"/>
      <c r="C272" s="19"/>
      <c r="D272" s="19"/>
      <c r="E272" s="19"/>
      <c r="F272" s="19"/>
    </row>
    <row r="273" ht="15.75" customHeight="1">
      <c r="A273" s="19"/>
      <c r="B273" s="19"/>
      <c r="C273" s="19"/>
      <c r="D273" s="19"/>
      <c r="E273" s="19"/>
      <c r="F273" s="19"/>
    </row>
    <row r="274" ht="15.75" customHeight="1">
      <c r="A274" s="19"/>
      <c r="B274" s="19"/>
      <c r="C274" s="19"/>
      <c r="D274" s="19"/>
      <c r="E274" s="19"/>
      <c r="F274" s="19"/>
    </row>
    <row r="275" ht="15.75" customHeight="1">
      <c r="A275" s="19"/>
      <c r="B275" s="19"/>
      <c r="C275" s="19"/>
      <c r="D275" s="19"/>
      <c r="E275" s="19"/>
      <c r="F275" s="19"/>
    </row>
    <row r="276" ht="15.75" customHeight="1">
      <c r="A276" s="19"/>
      <c r="B276" s="19"/>
      <c r="C276" s="19"/>
      <c r="D276" s="19"/>
      <c r="E276" s="19"/>
      <c r="F276" s="19"/>
    </row>
    <row r="277" ht="15.75" customHeight="1">
      <c r="A277" s="19"/>
      <c r="B277" s="19"/>
      <c r="C277" s="19"/>
      <c r="D277" s="19"/>
      <c r="E277" s="19"/>
      <c r="F277" s="19"/>
    </row>
    <row r="278" ht="15.75" customHeight="1">
      <c r="A278" s="19"/>
      <c r="B278" s="19"/>
      <c r="C278" s="19"/>
      <c r="D278" s="19"/>
      <c r="E278" s="19"/>
      <c r="F278" s="19"/>
    </row>
    <row r="279" ht="15.75" customHeight="1">
      <c r="A279" s="19"/>
      <c r="B279" s="19"/>
      <c r="C279" s="19"/>
      <c r="D279" s="19"/>
      <c r="E279" s="19"/>
      <c r="F279" s="19"/>
    </row>
    <row r="280" ht="15.75" customHeight="1">
      <c r="A280" s="19"/>
      <c r="B280" s="19"/>
      <c r="C280" s="19"/>
      <c r="D280" s="19"/>
      <c r="E280" s="19"/>
      <c r="F280" s="19"/>
    </row>
    <row r="281" ht="15.75" customHeight="1">
      <c r="A281" s="19"/>
      <c r="B281" s="19"/>
      <c r="C281" s="19"/>
      <c r="D281" s="19"/>
      <c r="E281" s="19"/>
      <c r="F281" s="19"/>
    </row>
    <row r="282" ht="15.75" customHeight="1">
      <c r="A282" s="19"/>
      <c r="B282" s="19"/>
      <c r="C282" s="19"/>
      <c r="D282" s="19"/>
      <c r="E282" s="19"/>
      <c r="F282" s="19"/>
    </row>
    <row r="283" ht="15.75" customHeight="1">
      <c r="A283" s="19"/>
      <c r="B283" s="19"/>
      <c r="C283" s="19"/>
      <c r="D283" s="19"/>
      <c r="E283" s="19"/>
      <c r="F283" s="19"/>
    </row>
    <row r="284" ht="15.75" customHeight="1">
      <c r="A284" s="19"/>
      <c r="B284" s="19"/>
      <c r="C284" s="19"/>
      <c r="D284" s="19"/>
      <c r="E284" s="19"/>
      <c r="F284" s="19"/>
    </row>
    <row r="285" ht="15.75" customHeight="1">
      <c r="A285" s="19"/>
      <c r="B285" s="19"/>
      <c r="C285" s="19"/>
      <c r="D285" s="19"/>
      <c r="E285" s="19"/>
      <c r="F285" s="19"/>
    </row>
    <row r="286" ht="15.75" customHeight="1">
      <c r="A286" s="19"/>
      <c r="B286" s="19"/>
      <c r="C286" s="19"/>
      <c r="D286" s="19"/>
      <c r="E286" s="19"/>
      <c r="F286" s="19"/>
    </row>
    <row r="287" ht="15.75" customHeight="1">
      <c r="A287" s="19"/>
      <c r="B287" s="19"/>
      <c r="C287" s="19"/>
      <c r="D287" s="19"/>
      <c r="E287" s="19"/>
      <c r="F287" s="19"/>
    </row>
    <row r="288" ht="15.75" customHeight="1">
      <c r="A288" s="19"/>
      <c r="B288" s="19"/>
      <c r="C288" s="19"/>
      <c r="D288" s="19"/>
      <c r="E288" s="19"/>
      <c r="F288" s="19"/>
    </row>
    <row r="289" ht="15.75" customHeight="1">
      <c r="A289" s="19"/>
      <c r="B289" s="19"/>
      <c r="C289" s="19"/>
      <c r="D289" s="19"/>
      <c r="E289" s="19"/>
      <c r="F289" s="19"/>
    </row>
    <row r="290" ht="15.75" customHeight="1">
      <c r="A290" s="19"/>
      <c r="B290" s="19"/>
      <c r="C290" s="19"/>
      <c r="D290" s="19"/>
      <c r="E290" s="19"/>
      <c r="F290" s="19"/>
    </row>
    <row r="291" ht="15.75" customHeight="1">
      <c r="A291" s="19"/>
      <c r="B291" s="19"/>
      <c r="C291" s="19"/>
      <c r="D291" s="19"/>
      <c r="E291" s="19"/>
      <c r="F291" s="19"/>
    </row>
    <row r="292" ht="15.75" customHeight="1">
      <c r="A292" s="19"/>
      <c r="B292" s="19"/>
      <c r="C292" s="19"/>
      <c r="D292" s="19"/>
      <c r="E292" s="19"/>
      <c r="F292" s="19"/>
    </row>
    <row r="293" ht="15.75" customHeight="1">
      <c r="A293" s="19"/>
      <c r="B293" s="19"/>
      <c r="C293" s="19"/>
      <c r="D293" s="19"/>
      <c r="E293" s="19"/>
      <c r="F293" s="19"/>
    </row>
    <row r="294" ht="15.75" customHeight="1">
      <c r="A294" s="19"/>
      <c r="B294" s="19"/>
      <c r="C294" s="19"/>
      <c r="D294" s="19"/>
      <c r="E294" s="19"/>
      <c r="F294" s="19"/>
    </row>
    <row r="295" ht="15.75" customHeight="1">
      <c r="A295" s="19"/>
      <c r="B295" s="19"/>
      <c r="C295" s="19"/>
      <c r="D295" s="19"/>
      <c r="E295" s="19"/>
      <c r="F295" s="19"/>
    </row>
    <row r="296" ht="15.75" customHeight="1">
      <c r="A296" s="19"/>
      <c r="B296" s="19"/>
      <c r="C296" s="19"/>
      <c r="D296" s="19"/>
      <c r="E296" s="19"/>
      <c r="F296" s="19"/>
    </row>
    <row r="297" ht="15.75" customHeight="1">
      <c r="A297" s="19"/>
      <c r="B297" s="19"/>
      <c r="C297" s="19"/>
      <c r="D297" s="19"/>
      <c r="E297" s="19"/>
      <c r="F297" s="19"/>
    </row>
    <row r="298" ht="15.75" customHeight="1">
      <c r="A298" s="19"/>
      <c r="B298" s="19"/>
      <c r="C298" s="19"/>
      <c r="D298" s="19"/>
      <c r="E298" s="19"/>
      <c r="F298" s="19"/>
    </row>
    <row r="299" ht="15.75" customHeight="1">
      <c r="A299" s="19"/>
      <c r="B299" s="19"/>
      <c r="C299" s="19"/>
      <c r="D299" s="19"/>
      <c r="E299" s="19"/>
      <c r="F299" s="19"/>
    </row>
    <row r="300" ht="15.75" customHeight="1">
      <c r="A300" s="19"/>
      <c r="B300" s="19"/>
      <c r="C300" s="19"/>
      <c r="D300" s="19"/>
      <c r="E300" s="19"/>
      <c r="F300" s="19"/>
    </row>
    <row r="301" ht="15.75" customHeight="1">
      <c r="A301" s="19"/>
      <c r="B301" s="19"/>
      <c r="C301" s="19"/>
      <c r="D301" s="19"/>
      <c r="E301" s="19"/>
      <c r="F301" s="19"/>
    </row>
    <row r="302" ht="15.75" customHeight="1">
      <c r="A302" s="19"/>
      <c r="B302" s="19"/>
      <c r="C302" s="19"/>
      <c r="D302" s="19"/>
      <c r="E302" s="19"/>
      <c r="F302" s="19"/>
    </row>
    <row r="303" ht="15.75" customHeight="1">
      <c r="A303" s="19"/>
      <c r="B303" s="19"/>
      <c r="C303" s="19"/>
      <c r="D303" s="19"/>
      <c r="E303" s="19"/>
      <c r="F303" s="19"/>
    </row>
    <row r="304" ht="15.75" customHeight="1">
      <c r="A304" s="19"/>
      <c r="B304" s="19"/>
      <c r="C304" s="19"/>
      <c r="D304" s="19"/>
      <c r="E304" s="19"/>
      <c r="F304" s="19"/>
    </row>
    <row r="305" ht="15.75" customHeight="1">
      <c r="A305" s="19"/>
      <c r="B305" s="19"/>
      <c r="C305" s="19"/>
      <c r="D305" s="19"/>
      <c r="E305" s="19"/>
      <c r="F305" s="19"/>
    </row>
    <row r="306" ht="15.75" customHeight="1">
      <c r="A306" s="19"/>
      <c r="B306" s="19"/>
      <c r="C306" s="19"/>
      <c r="D306" s="19"/>
      <c r="E306" s="19"/>
      <c r="F306" s="19"/>
    </row>
    <row r="307" ht="15.75" customHeight="1">
      <c r="A307" s="19"/>
      <c r="B307" s="19"/>
      <c r="C307" s="19"/>
      <c r="D307" s="19"/>
      <c r="E307" s="19"/>
      <c r="F307" s="19"/>
    </row>
    <row r="308" ht="15.75" customHeight="1">
      <c r="A308" s="19"/>
      <c r="B308" s="19"/>
      <c r="C308" s="19"/>
      <c r="D308" s="19"/>
      <c r="E308" s="19"/>
      <c r="F308" s="19"/>
    </row>
    <row r="309" ht="15.75" customHeight="1">
      <c r="A309" s="19"/>
      <c r="B309" s="19"/>
      <c r="C309" s="19"/>
      <c r="D309" s="19"/>
      <c r="E309" s="19"/>
      <c r="F309" s="19"/>
    </row>
    <row r="310" ht="15.75" customHeight="1">
      <c r="A310" s="19"/>
      <c r="B310" s="19"/>
      <c r="C310" s="19"/>
      <c r="D310" s="19"/>
      <c r="E310" s="19"/>
      <c r="F310" s="19"/>
    </row>
    <row r="311" ht="15.75" customHeight="1">
      <c r="A311" s="19"/>
      <c r="B311" s="19"/>
      <c r="C311" s="19"/>
      <c r="D311" s="19"/>
      <c r="E311" s="19"/>
      <c r="F311" s="19"/>
    </row>
    <row r="312" ht="15.75" customHeight="1">
      <c r="A312" s="19"/>
      <c r="B312" s="19"/>
      <c r="C312" s="19"/>
      <c r="D312" s="19"/>
      <c r="E312" s="19"/>
      <c r="F312" s="19"/>
    </row>
    <row r="313" ht="15.75" customHeight="1">
      <c r="A313" s="19"/>
      <c r="B313" s="19"/>
      <c r="C313" s="19"/>
      <c r="D313" s="19"/>
      <c r="E313" s="19"/>
      <c r="F313" s="19"/>
    </row>
    <row r="314" ht="15.75" customHeight="1">
      <c r="A314" s="19"/>
      <c r="B314" s="19"/>
      <c r="C314" s="19"/>
      <c r="D314" s="19"/>
      <c r="E314" s="19"/>
      <c r="F314" s="19"/>
    </row>
    <row r="315" ht="15.75" customHeight="1">
      <c r="A315" s="19"/>
      <c r="B315" s="19"/>
      <c r="C315" s="19"/>
      <c r="D315" s="19"/>
      <c r="E315" s="19"/>
      <c r="F315" s="19"/>
    </row>
    <row r="316" ht="15.75" customHeight="1">
      <c r="A316" s="19"/>
      <c r="B316" s="19"/>
      <c r="C316" s="19"/>
      <c r="D316" s="19"/>
      <c r="E316" s="19"/>
      <c r="F316" s="19"/>
    </row>
    <row r="317" ht="15.75" customHeight="1">
      <c r="A317" s="19"/>
      <c r="B317" s="19"/>
      <c r="C317" s="19"/>
      <c r="D317" s="19"/>
      <c r="E317" s="19"/>
      <c r="F317" s="19"/>
    </row>
    <row r="318" ht="15.75" customHeight="1">
      <c r="A318" s="19"/>
      <c r="B318" s="19"/>
      <c r="C318" s="19"/>
      <c r="D318" s="19"/>
      <c r="E318" s="19"/>
      <c r="F318" s="19"/>
    </row>
    <row r="319" ht="15.75" customHeight="1">
      <c r="A319" s="19"/>
      <c r="B319" s="19"/>
      <c r="C319" s="19"/>
      <c r="D319" s="19"/>
      <c r="E319" s="19"/>
      <c r="F319" s="19"/>
    </row>
    <row r="320" ht="15.75" customHeight="1">
      <c r="A320" s="19"/>
      <c r="B320" s="19"/>
      <c r="C320" s="19"/>
      <c r="D320" s="19"/>
      <c r="E320" s="19"/>
      <c r="F320" s="19"/>
    </row>
    <row r="321" ht="15.75" customHeight="1">
      <c r="A321" s="19"/>
      <c r="B321" s="19"/>
      <c r="C321" s="19"/>
      <c r="D321" s="19"/>
      <c r="E321" s="19"/>
      <c r="F321" s="19"/>
    </row>
    <row r="322" ht="15.75" customHeight="1">
      <c r="A322" s="19"/>
      <c r="B322" s="19"/>
      <c r="C322" s="19"/>
      <c r="D322" s="19"/>
      <c r="E322" s="19"/>
      <c r="F322" s="19"/>
    </row>
    <row r="323" ht="15.75" customHeight="1">
      <c r="A323" s="19"/>
      <c r="B323" s="19"/>
      <c r="C323" s="19"/>
      <c r="D323" s="19"/>
      <c r="E323" s="19"/>
      <c r="F323" s="19"/>
    </row>
    <row r="324" ht="15.75" customHeight="1">
      <c r="A324" s="19"/>
      <c r="B324" s="19"/>
      <c r="C324" s="19"/>
      <c r="D324" s="19"/>
      <c r="E324" s="19"/>
      <c r="F324" s="19"/>
    </row>
    <row r="325" ht="15.75" customHeight="1">
      <c r="A325" s="19"/>
      <c r="B325" s="19"/>
      <c r="C325" s="19"/>
      <c r="D325" s="19"/>
      <c r="E325" s="19"/>
      <c r="F325" s="19"/>
    </row>
    <row r="326" ht="15.75" customHeight="1">
      <c r="A326" s="19"/>
      <c r="B326" s="19"/>
      <c r="C326" s="19"/>
      <c r="D326" s="19"/>
      <c r="E326" s="19"/>
      <c r="F326" s="19"/>
    </row>
    <row r="327" ht="15.75" customHeight="1">
      <c r="A327" s="19"/>
      <c r="B327" s="19"/>
      <c r="C327" s="19"/>
      <c r="D327" s="19"/>
      <c r="E327" s="19"/>
      <c r="F327" s="19"/>
    </row>
    <row r="328" ht="15.75" customHeight="1">
      <c r="A328" s="19"/>
      <c r="B328" s="19"/>
      <c r="C328" s="19"/>
      <c r="D328" s="19"/>
      <c r="E328" s="19"/>
      <c r="F328" s="19"/>
    </row>
    <row r="329" ht="15.75" customHeight="1">
      <c r="A329" s="19"/>
      <c r="B329" s="19"/>
      <c r="C329" s="19"/>
      <c r="D329" s="19"/>
      <c r="E329" s="19"/>
      <c r="F329" s="19"/>
    </row>
    <row r="330" ht="15.75" customHeight="1">
      <c r="A330" s="19"/>
      <c r="B330" s="19"/>
      <c r="C330" s="19"/>
      <c r="D330" s="19"/>
      <c r="E330" s="19"/>
      <c r="F330" s="19"/>
    </row>
    <row r="331" ht="15.75" customHeight="1">
      <c r="A331" s="19"/>
      <c r="B331" s="19"/>
      <c r="C331" s="19"/>
      <c r="D331" s="19"/>
      <c r="E331" s="19"/>
      <c r="F331" s="19"/>
    </row>
    <row r="332" ht="15.75" customHeight="1">
      <c r="A332" s="19"/>
      <c r="B332" s="19"/>
      <c r="C332" s="19"/>
      <c r="D332" s="19"/>
      <c r="E332" s="19"/>
      <c r="F332" s="19"/>
    </row>
    <row r="333" ht="15.75" customHeight="1">
      <c r="A333" s="19"/>
      <c r="B333" s="19"/>
      <c r="C333" s="19"/>
      <c r="D333" s="19"/>
      <c r="E333" s="19"/>
      <c r="F333" s="19"/>
    </row>
    <row r="334" ht="15.75" customHeight="1">
      <c r="A334" s="19"/>
      <c r="B334" s="19"/>
      <c r="C334" s="19"/>
      <c r="D334" s="19"/>
      <c r="E334" s="19"/>
      <c r="F334" s="19"/>
    </row>
    <row r="335" ht="15.75" customHeight="1">
      <c r="A335" s="19"/>
      <c r="B335" s="19"/>
      <c r="C335" s="19"/>
      <c r="D335" s="19"/>
      <c r="E335" s="19"/>
      <c r="F335" s="19"/>
    </row>
    <row r="336" ht="15.75" customHeight="1">
      <c r="A336" s="19"/>
      <c r="B336" s="19"/>
      <c r="C336" s="19"/>
      <c r="D336" s="19"/>
      <c r="E336" s="19"/>
      <c r="F336" s="19"/>
    </row>
    <row r="337" ht="15.75" customHeight="1">
      <c r="A337" s="19"/>
      <c r="B337" s="19"/>
      <c r="C337" s="19"/>
      <c r="D337" s="19"/>
      <c r="E337" s="19"/>
      <c r="F337" s="19"/>
    </row>
    <row r="338" ht="15.75" customHeight="1">
      <c r="A338" s="19"/>
      <c r="B338" s="19"/>
      <c r="C338" s="19"/>
      <c r="D338" s="19"/>
      <c r="E338" s="19"/>
      <c r="F338" s="19"/>
    </row>
    <row r="339" ht="15.75" customHeight="1">
      <c r="A339" s="19"/>
      <c r="B339" s="19"/>
      <c r="C339" s="19"/>
      <c r="D339" s="19"/>
      <c r="E339" s="19"/>
      <c r="F339" s="19"/>
    </row>
    <row r="340" ht="15.75" customHeight="1">
      <c r="A340" s="19"/>
      <c r="B340" s="19"/>
      <c r="C340" s="19"/>
      <c r="D340" s="19"/>
      <c r="E340" s="19"/>
      <c r="F340" s="19"/>
    </row>
    <row r="341" ht="15.75" customHeight="1">
      <c r="A341" s="19"/>
      <c r="B341" s="19"/>
      <c r="C341" s="19"/>
      <c r="D341" s="19"/>
      <c r="E341" s="19"/>
      <c r="F341" s="19"/>
    </row>
    <row r="342" ht="15.75" customHeight="1">
      <c r="A342" s="19"/>
      <c r="B342" s="19"/>
      <c r="C342" s="19"/>
      <c r="D342" s="19"/>
      <c r="E342" s="19"/>
      <c r="F342" s="19"/>
    </row>
    <row r="343" ht="15.75" customHeight="1">
      <c r="A343" s="19"/>
      <c r="B343" s="19"/>
      <c r="C343" s="19"/>
      <c r="D343" s="19"/>
      <c r="E343" s="19"/>
      <c r="F343" s="19"/>
    </row>
    <row r="344" ht="15.75" customHeight="1">
      <c r="A344" s="19"/>
      <c r="B344" s="19"/>
      <c r="C344" s="19"/>
      <c r="D344" s="19"/>
      <c r="E344" s="19"/>
      <c r="F344" s="19"/>
    </row>
    <row r="345" ht="15.75" customHeight="1">
      <c r="A345" s="19"/>
      <c r="B345" s="19"/>
      <c r="C345" s="19"/>
      <c r="D345" s="19"/>
      <c r="E345" s="19"/>
      <c r="F345" s="19"/>
    </row>
    <row r="346" ht="15.75" customHeight="1">
      <c r="A346" s="19"/>
      <c r="B346" s="19"/>
      <c r="C346" s="19"/>
      <c r="D346" s="19"/>
      <c r="E346" s="19"/>
      <c r="F346" s="19"/>
    </row>
    <row r="347" ht="15.75" customHeight="1">
      <c r="A347" s="19"/>
      <c r="B347" s="19"/>
      <c r="C347" s="19"/>
      <c r="D347" s="19"/>
      <c r="E347" s="19"/>
      <c r="F347" s="19"/>
    </row>
    <row r="348" ht="15.75" customHeight="1">
      <c r="A348" s="19"/>
      <c r="B348" s="19"/>
      <c r="C348" s="19"/>
      <c r="D348" s="19"/>
      <c r="E348" s="19"/>
      <c r="F348" s="19"/>
    </row>
    <row r="349" ht="15.75" customHeight="1">
      <c r="A349" s="19"/>
      <c r="B349" s="19"/>
      <c r="C349" s="19"/>
      <c r="D349" s="19"/>
      <c r="E349" s="19"/>
      <c r="F349" s="19"/>
    </row>
    <row r="350" ht="15.75" customHeight="1">
      <c r="A350" s="19"/>
      <c r="B350" s="19"/>
      <c r="C350" s="19"/>
      <c r="D350" s="19"/>
      <c r="E350" s="19"/>
      <c r="F350" s="19"/>
    </row>
    <row r="351" ht="15.75" customHeight="1">
      <c r="A351" s="19"/>
      <c r="B351" s="19"/>
      <c r="C351" s="19"/>
      <c r="D351" s="19"/>
      <c r="E351" s="19"/>
      <c r="F351" s="19"/>
    </row>
    <row r="352" ht="15.75" customHeight="1">
      <c r="A352" s="19"/>
      <c r="B352" s="19"/>
      <c r="C352" s="19"/>
      <c r="D352" s="19"/>
      <c r="E352" s="19"/>
      <c r="F352" s="19"/>
    </row>
    <row r="353" ht="15.75" customHeight="1">
      <c r="A353" s="19"/>
      <c r="B353" s="19"/>
      <c r="C353" s="19"/>
      <c r="D353" s="19"/>
      <c r="E353" s="19"/>
      <c r="F353" s="19"/>
    </row>
    <row r="354" ht="15.75" customHeight="1">
      <c r="A354" s="19"/>
      <c r="B354" s="19"/>
      <c r="C354" s="19"/>
      <c r="D354" s="19"/>
      <c r="E354" s="19"/>
      <c r="F354" s="19"/>
    </row>
    <row r="355" ht="15.75" customHeight="1">
      <c r="A355" s="19"/>
      <c r="B355" s="19"/>
      <c r="C355" s="19"/>
      <c r="D355" s="19"/>
      <c r="E355" s="19"/>
      <c r="F355" s="19"/>
    </row>
    <row r="356" ht="15.75" customHeight="1">
      <c r="A356" s="19"/>
      <c r="B356" s="19"/>
      <c r="C356" s="19"/>
      <c r="D356" s="19"/>
      <c r="E356" s="19"/>
      <c r="F356" s="19"/>
    </row>
    <row r="357" ht="15.75" customHeight="1">
      <c r="A357" s="19"/>
      <c r="B357" s="19"/>
      <c r="C357" s="19"/>
      <c r="D357" s="19"/>
      <c r="E357" s="19"/>
      <c r="F357" s="19"/>
    </row>
    <row r="358" ht="15.75" customHeight="1">
      <c r="A358" s="19"/>
      <c r="B358" s="19"/>
      <c r="C358" s="19"/>
      <c r="D358" s="19"/>
      <c r="E358" s="19"/>
      <c r="F358" s="19"/>
    </row>
    <row r="359" ht="15.75" customHeight="1">
      <c r="A359" s="19"/>
      <c r="B359" s="19"/>
      <c r="C359" s="19"/>
      <c r="D359" s="19"/>
      <c r="E359" s="19"/>
      <c r="F359" s="19"/>
    </row>
    <row r="360" ht="15.75" customHeight="1">
      <c r="A360" s="19"/>
      <c r="B360" s="19"/>
      <c r="C360" s="19"/>
      <c r="D360" s="19"/>
      <c r="E360" s="19"/>
      <c r="F360" s="19"/>
    </row>
    <row r="361" ht="15.75" customHeight="1">
      <c r="A361" s="19"/>
      <c r="B361" s="19"/>
      <c r="C361" s="19"/>
      <c r="D361" s="19"/>
      <c r="E361" s="19"/>
      <c r="F361" s="19"/>
    </row>
    <row r="362" ht="15.75" customHeight="1">
      <c r="A362" s="19"/>
      <c r="B362" s="19"/>
      <c r="C362" s="19"/>
      <c r="D362" s="19"/>
      <c r="E362" s="19"/>
      <c r="F362" s="19"/>
    </row>
    <row r="363" ht="15.75" customHeight="1">
      <c r="A363" s="19"/>
      <c r="B363" s="19"/>
      <c r="C363" s="19"/>
      <c r="D363" s="19"/>
      <c r="E363" s="19"/>
      <c r="F363" s="19"/>
    </row>
    <row r="364" ht="15.75" customHeight="1">
      <c r="A364" s="19"/>
      <c r="B364" s="19"/>
      <c r="C364" s="19"/>
      <c r="D364" s="19"/>
      <c r="E364" s="19"/>
      <c r="F364" s="19"/>
    </row>
    <row r="365" ht="15.75" customHeight="1">
      <c r="A365" s="19"/>
      <c r="B365" s="19"/>
      <c r="C365" s="19"/>
      <c r="D365" s="19"/>
      <c r="E365" s="19"/>
      <c r="F365" s="19"/>
    </row>
    <row r="366" ht="15.75" customHeight="1">
      <c r="A366" s="19"/>
      <c r="B366" s="19"/>
      <c r="C366" s="19"/>
      <c r="D366" s="19"/>
      <c r="E366" s="19"/>
      <c r="F366" s="19"/>
    </row>
    <row r="367" ht="15.75" customHeight="1">
      <c r="A367" s="19"/>
      <c r="B367" s="19"/>
      <c r="C367" s="19"/>
      <c r="D367" s="19"/>
      <c r="E367" s="19"/>
      <c r="F367" s="19"/>
    </row>
    <row r="368" ht="15.75" customHeight="1">
      <c r="A368" s="19"/>
      <c r="B368" s="19"/>
      <c r="C368" s="19"/>
      <c r="D368" s="19"/>
      <c r="E368" s="19"/>
      <c r="F368" s="19"/>
    </row>
    <row r="369" ht="15.75" customHeight="1">
      <c r="A369" s="19"/>
      <c r="B369" s="19"/>
      <c r="C369" s="19"/>
      <c r="D369" s="19"/>
      <c r="E369" s="19"/>
      <c r="F369" s="19"/>
    </row>
    <row r="370" ht="15.75" customHeight="1">
      <c r="A370" s="19"/>
      <c r="B370" s="19"/>
      <c r="C370" s="19"/>
      <c r="D370" s="19"/>
      <c r="E370" s="19"/>
      <c r="F370" s="19"/>
    </row>
    <row r="371" ht="15.75" customHeight="1">
      <c r="A371" s="19"/>
      <c r="B371" s="19"/>
      <c r="C371" s="19"/>
      <c r="D371" s="19"/>
      <c r="E371" s="19"/>
      <c r="F371" s="19"/>
    </row>
    <row r="372" ht="15.75" customHeight="1">
      <c r="A372" s="19"/>
      <c r="B372" s="19"/>
      <c r="C372" s="19"/>
      <c r="D372" s="19"/>
      <c r="E372" s="19"/>
      <c r="F372" s="19"/>
    </row>
    <row r="373" ht="15.75" customHeight="1">
      <c r="A373" s="19"/>
      <c r="B373" s="19"/>
      <c r="C373" s="19"/>
      <c r="D373" s="19"/>
      <c r="E373" s="19"/>
      <c r="F373" s="19"/>
    </row>
    <row r="374" ht="15.75" customHeight="1">
      <c r="A374" s="19"/>
      <c r="B374" s="19"/>
      <c r="C374" s="19"/>
      <c r="D374" s="19"/>
      <c r="E374" s="19"/>
      <c r="F374" s="19"/>
    </row>
    <row r="375" ht="15.75" customHeight="1">
      <c r="A375" s="19"/>
      <c r="B375" s="19"/>
      <c r="C375" s="19"/>
      <c r="D375" s="19"/>
      <c r="E375" s="19"/>
      <c r="F375" s="19"/>
    </row>
    <row r="376" ht="15.75" customHeight="1">
      <c r="A376" s="19"/>
      <c r="B376" s="19"/>
      <c r="C376" s="19"/>
      <c r="D376" s="19"/>
      <c r="E376" s="19"/>
      <c r="F376" s="19"/>
    </row>
    <row r="377" ht="15.75" customHeight="1">
      <c r="A377" s="19"/>
      <c r="B377" s="19"/>
      <c r="C377" s="19"/>
      <c r="D377" s="19"/>
      <c r="E377" s="19"/>
      <c r="F377" s="19"/>
    </row>
    <row r="378" ht="15.75" customHeight="1">
      <c r="A378" s="19"/>
      <c r="B378" s="19"/>
      <c r="C378" s="19"/>
      <c r="D378" s="19"/>
      <c r="E378" s="19"/>
      <c r="F378" s="19"/>
    </row>
    <row r="379" ht="15.75" customHeight="1">
      <c r="A379" s="19"/>
      <c r="B379" s="19"/>
      <c r="C379" s="19"/>
      <c r="D379" s="19"/>
      <c r="E379" s="19"/>
      <c r="F379" s="19"/>
    </row>
    <row r="380" ht="15.75" customHeight="1">
      <c r="A380" s="19"/>
      <c r="B380" s="19"/>
      <c r="C380" s="19"/>
      <c r="D380" s="19"/>
      <c r="E380" s="19"/>
      <c r="F380" s="19"/>
    </row>
    <row r="381" ht="15.75" customHeight="1">
      <c r="A381" s="19"/>
      <c r="B381" s="19"/>
      <c r="C381" s="19"/>
      <c r="D381" s="19"/>
      <c r="E381" s="19"/>
      <c r="F381" s="19"/>
    </row>
    <row r="382" ht="15.75" customHeight="1">
      <c r="A382" s="19"/>
      <c r="B382" s="19"/>
      <c r="C382" s="19"/>
      <c r="D382" s="19"/>
      <c r="E382" s="19"/>
      <c r="F382" s="19"/>
    </row>
    <row r="383" ht="15.75" customHeight="1">
      <c r="A383" s="19"/>
      <c r="B383" s="19"/>
      <c r="C383" s="19"/>
      <c r="D383" s="19"/>
      <c r="E383" s="19"/>
      <c r="F383" s="19"/>
    </row>
    <row r="384" ht="15.75" customHeight="1">
      <c r="A384" s="19"/>
      <c r="B384" s="19"/>
      <c r="C384" s="19"/>
      <c r="D384" s="19"/>
      <c r="E384" s="19"/>
      <c r="F384" s="19"/>
    </row>
    <row r="385" ht="15.75" customHeight="1">
      <c r="A385" s="19"/>
      <c r="B385" s="19"/>
      <c r="C385" s="19"/>
      <c r="D385" s="19"/>
      <c r="E385" s="19"/>
      <c r="F385" s="19"/>
    </row>
    <row r="386" ht="15.75" customHeight="1">
      <c r="A386" s="19"/>
      <c r="B386" s="19"/>
      <c r="C386" s="19"/>
      <c r="D386" s="19"/>
      <c r="E386" s="19"/>
      <c r="F386" s="19"/>
    </row>
    <row r="387" ht="15.75" customHeight="1">
      <c r="A387" s="19"/>
      <c r="B387" s="19"/>
      <c r="C387" s="19"/>
      <c r="D387" s="19"/>
      <c r="E387" s="19"/>
      <c r="F387" s="19"/>
    </row>
    <row r="388" ht="15.75" customHeight="1">
      <c r="A388" s="19"/>
      <c r="B388" s="19"/>
      <c r="C388" s="19"/>
      <c r="D388" s="19"/>
      <c r="E388" s="19"/>
      <c r="F388" s="19"/>
    </row>
    <row r="389" ht="15.75" customHeight="1">
      <c r="A389" s="19"/>
      <c r="B389" s="19"/>
      <c r="C389" s="19"/>
      <c r="D389" s="19"/>
      <c r="E389" s="19"/>
      <c r="F389" s="19"/>
    </row>
    <row r="390" ht="15.75" customHeight="1">
      <c r="A390" s="19"/>
      <c r="B390" s="19"/>
      <c r="C390" s="19"/>
      <c r="D390" s="19"/>
      <c r="E390" s="19"/>
      <c r="F390" s="19"/>
    </row>
    <row r="391" ht="15.75" customHeight="1">
      <c r="A391" s="19"/>
      <c r="B391" s="19"/>
      <c r="C391" s="19"/>
      <c r="D391" s="19"/>
      <c r="E391" s="19"/>
      <c r="F391" s="19"/>
    </row>
    <row r="392" ht="15.75" customHeight="1">
      <c r="A392" s="19"/>
      <c r="B392" s="19"/>
      <c r="C392" s="19"/>
      <c r="D392" s="19"/>
      <c r="E392" s="19"/>
      <c r="F392" s="19"/>
    </row>
    <row r="393" ht="15.75" customHeight="1">
      <c r="A393" s="19"/>
      <c r="B393" s="19"/>
      <c r="C393" s="19"/>
      <c r="D393" s="19"/>
      <c r="E393" s="19"/>
      <c r="F393" s="19"/>
    </row>
    <row r="394" ht="15.75" customHeight="1">
      <c r="A394" s="19"/>
      <c r="B394" s="19"/>
      <c r="C394" s="19"/>
      <c r="D394" s="19"/>
      <c r="E394" s="19"/>
      <c r="F394" s="19"/>
    </row>
    <row r="395" ht="15.75" customHeight="1">
      <c r="A395" s="19"/>
      <c r="B395" s="19"/>
      <c r="C395" s="19"/>
      <c r="D395" s="19"/>
      <c r="E395" s="19"/>
      <c r="F395" s="19"/>
    </row>
    <row r="396" ht="15.75" customHeight="1">
      <c r="A396" s="19"/>
      <c r="B396" s="19"/>
      <c r="C396" s="19"/>
      <c r="D396" s="19"/>
      <c r="E396" s="19"/>
      <c r="F396" s="19"/>
    </row>
    <row r="397" ht="15.75" customHeight="1">
      <c r="A397" s="19"/>
      <c r="B397" s="19"/>
      <c r="C397" s="19"/>
      <c r="D397" s="19"/>
      <c r="E397" s="19"/>
      <c r="F397" s="19"/>
    </row>
    <row r="398" ht="15.75" customHeight="1">
      <c r="A398" s="19"/>
      <c r="B398" s="19"/>
      <c r="C398" s="19"/>
      <c r="D398" s="19"/>
      <c r="E398" s="19"/>
      <c r="F398" s="19"/>
    </row>
    <row r="399" ht="15.75" customHeight="1">
      <c r="A399" s="19"/>
      <c r="B399" s="19"/>
      <c r="C399" s="19"/>
      <c r="D399" s="19"/>
      <c r="E399" s="19"/>
      <c r="F399" s="19"/>
    </row>
    <row r="400" ht="15.75" customHeight="1">
      <c r="A400" s="19"/>
      <c r="B400" s="19"/>
      <c r="C400" s="19"/>
      <c r="D400" s="19"/>
      <c r="E400" s="19"/>
      <c r="F400" s="19"/>
    </row>
    <row r="401" ht="15.75" customHeight="1">
      <c r="A401" s="19"/>
      <c r="B401" s="19"/>
      <c r="C401" s="19"/>
      <c r="D401" s="19"/>
      <c r="E401" s="19"/>
      <c r="F401" s="19"/>
    </row>
    <row r="402" ht="15.75" customHeight="1">
      <c r="A402" s="19"/>
      <c r="B402" s="19"/>
      <c r="C402" s="19"/>
      <c r="D402" s="19"/>
      <c r="E402" s="19"/>
      <c r="F402" s="19"/>
    </row>
    <row r="403" ht="15.75" customHeight="1">
      <c r="A403" s="19"/>
      <c r="B403" s="19"/>
      <c r="C403" s="19"/>
      <c r="D403" s="19"/>
      <c r="E403" s="19"/>
      <c r="F403" s="19"/>
    </row>
    <row r="404" ht="15.75" customHeight="1">
      <c r="A404" s="19"/>
      <c r="B404" s="19"/>
      <c r="C404" s="19"/>
      <c r="D404" s="19"/>
      <c r="E404" s="19"/>
      <c r="F404" s="19"/>
    </row>
    <row r="405" ht="15.75" customHeight="1">
      <c r="A405" s="19"/>
      <c r="B405" s="19"/>
      <c r="C405" s="19"/>
      <c r="D405" s="19"/>
      <c r="E405" s="19"/>
      <c r="F405" s="19"/>
    </row>
    <row r="406" ht="15.75" customHeight="1">
      <c r="A406" s="19"/>
      <c r="B406" s="19"/>
      <c r="C406" s="19"/>
      <c r="D406" s="19"/>
      <c r="E406" s="19"/>
      <c r="F406" s="19"/>
    </row>
    <row r="407" ht="15.75" customHeight="1">
      <c r="A407" s="19"/>
      <c r="B407" s="19"/>
      <c r="C407" s="19"/>
      <c r="D407" s="19"/>
      <c r="E407" s="19"/>
      <c r="F407" s="19"/>
    </row>
    <row r="408" ht="15.75" customHeight="1">
      <c r="A408" s="19"/>
      <c r="B408" s="19"/>
      <c r="C408" s="19"/>
      <c r="D408" s="19"/>
      <c r="E408" s="19"/>
      <c r="F408" s="19"/>
    </row>
    <row r="409" ht="15.75" customHeight="1">
      <c r="A409" s="19"/>
      <c r="B409" s="19"/>
      <c r="C409" s="19"/>
      <c r="D409" s="19"/>
      <c r="E409" s="19"/>
      <c r="F409" s="19"/>
    </row>
    <row r="410" ht="15.75" customHeight="1">
      <c r="A410" s="19"/>
      <c r="B410" s="19"/>
      <c r="C410" s="19"/>
      <c r="D410" s="19"/>
      <c r="E410" s="19"/>
      <c r="F410" s="19"/>
    </row>
    <row r="411" ht="15.75" customHeight="1">
      <c r="A411" s="19"/>
      <c r="B411" s="19"/>
      <c r="C411" s="19"/>
      <c r="D411" s="19"/>
      <c r="E411" s="19"/>
      <c r="F411" s="19"/>
    </row>
    <row r="412" ht="15.75" customHeight="1">
      <c r="A412" s="19"/>
      <c r="B412" s="19"/>
      <c r="C412" s="19"/>
      <c r="D412" s="19"/>
      <c r="E412" s="19"/>
      <c r="F412" s="19"/>
    </row>
    <row r="413" ht="15.75" customHeight="1">
      <c r="A413" s="19"/>
      <c r="B413" s="19"/>
      <c r="C413" s="19"/>
      <c r="D413" s="19"/>
      <c r="E413" s="19"/>
      <c r="F413" s="19"/>
    </row>
    <row r="414" ht="15.75" customHeight="1">
      <c r="A414" s="19"/>
      <c r="B414" s="19"/>
      <c r="C414" s="19"/>
      <c r="D414" s="19"/>
      <c r="E414" s="19"/>
      <c r="F414" s="19"/>
    </row>
    <row r="415" ht="15.75" customHeight="1">
      <c r="A415" s="19"/>
      <c r="B415" s="19"/>
      <c r="C415" s="19"/>
      <c r="D415" s="19"/>
      <c r="E415" s="19"/>
      <c r="F415" s="19"/>
    </row>
    <row r="416" ht="15.75" customHeight="1">
      <c r="A416" s="19"/>
      <c r="B416" s="19"/>
      <c r="C416" s="19"/>
      <c r="D416" s="19"/>
      <c r="E416" s="19"/>
      <c r="F416" s="19"/>
    </row>
    <row r="417" ht="15.75" customHeight="1">
      <c r="A417" s="19"/>
      <c r="B417" s="19"/>
      <c r="C417" s="19"/>
      <c r="D417" s="19"/>
      <c r="E417" s="19"/>
      <c r="F417" s="19"/>
    </row>
    <row r="418" ht="15.75" customHeight="1">
      <c r="A418" s="19"/>
      <c r="B418" s="19"/>
      <c r="C418" s="19"/>
      <c r="D418" s="19"/>
      <c r="E418" s="19"/>
      <c r="F418" s="19"/>
    </row>
    <row r="419" ht="15.75" customHeight="1">
      <c r="A419" s="19"/>
      <c r="B419" s="19"/>
      <c r="C419" s="19"/>
      <c r="D419" s="19"/>
      <c r="E419" s="19"/>
      <c r="F419" s="19"/>
    </row>
    <row r="420" ht="15.75" customHeight="1">
      <c r="A420" s="19"/>
      <c r="B420" s="19"/>
      <c r="C420" s="19"/>
      <c r="D420" s="19"/>
      <c r="E420" s="19"/>
      <c r="F420" s="19"/>
    </row>
    <row r="421" ht="15.75" customHeight="1">
      <c r="A421" s="19"/>
      <c r="B421" s="19"/>
      <c r="C421" s="19"/>
      <c r="D421" s="19"/>
      <c r="E421" s="19"/>
      <c r="F421" s="19"/>
    </row>
    <row r="422" ht="15.75" customHeight="1">
      <c r="A422" s="19"/>
      <c r="B422" s="19"/>
      <c r="C422" s="19"/>
      <c r="D422" s="19"/>
      <c r="E422" s="19"/>
      <c r="F422" s="19"/>
    </row>
    <row r="423" ht="15.75" customHeight="1">
      <c r="A423" s="19"/>
      <c r="B423" s="19"/>
      <c r="C423" s="19"/>
      <c r="D423" s="19"/>
      <c r="E423" s="19"/>
      <c r="F423" s="19"/>
    </row>
    <row r="424" ht="15.75" customHeight="1">
      <c r="A424" s="19"/>
      <c r="B424" s="19"/>
      <c r="C424" s="19"/>
      <c r="D424" s="19"/>
      <c r="E424" s="19"/>
      <c r="F424" s="19"/>
    </row>
    <row r="425" ht="15.75" customHeight="1">
      <c r="A425" s="19"/>
      <c r="B425" s="19"/>
      <c r="C425" s="19"/>
      <c r="D425" s="19"/>
      <c r="E425" s="19"/>
      <c r="F425" s="19"/>
    </row>
    <row r="426" ht="15.75" customHeight="1">
      <c r="A426" s="19"/>
      <c r="B426" s="19"/>
      <c r="C426" s="19"/>
      <c r="D426" s="19"/>
      <c r="E426" s="19"/>
      <c r="F426" s="19"/>
    </row>
    <row r="427" ht="15.75" customHeight="1">
      <c r="A427" s="19"/>
      <c r="B427" s="19"/>
      <c r="C427" s="19"/>
      <c r="D427" s="19"/>
      <c r="E427" s="19"/>
      <c r="F427" s="19"/>
    </row>
    <row r="428" ht="15.75" customHeight="1">
      <c r="A428" s="19"/>
      <c r="B428" s="19"/>
      <c r="C428" s="19"/>
      <c r="D428" s="19"/>
      <c r="E428" s="19"/>
      <c r="F428" s="19"/>
    </row>
    <row r="429" ht="15.75" customHeight="1">
      <c r="A429" s="19"/>
      <c r="B429" s="19"/>
      <c r="C429" s="19"/>
      <c r="D429" s="19"/>
      <c r="E429" s="19"/>
      <c r="F429" s="19"/>
    </row>
    <row r="430" ht="15.75" customHeight="1">
      <c r="A430" s="19"/>
      <c r="B430" s="19"/>
      <c r="C430" s="19"/>
      <c r="D430" s="19"/>
      <c r="E430" s="19"/>
      <c r="F430" s="19"/>
    </row>
    <row r="431" ht="15.75" customHeight="1">
      <c r="A431" s="19"/>
      <c r="B431" s="19"/>
      <c r="C431" s="19"/>
      <c r="D431" s="19"/>
      <c r="E431" s="19"/>
      <c r="F431" s="19"/>
    </row>
    <row r="432" ht="15.75" customHeight="1">
      <c r="A432" s="19"/>
      <c r="B432" s="19"/>
      <c r="C432" s="19"/>
      <c r="D432" s="19"/>
      <c r="E432" s="19"/>
      <c r="F432" s="19"/>
    </row>
    <row r="433" ht="15.75" customHeight="1">
      <c r="A433" s="19"/>
      <c r="B433" s="19"/>
      <c r="C433" s="19"/>
      <c r="D433" s="19"/>
      <c r="E433" s="19"/>
      <c r="F433" s="19"/>
    </row>
    <row r="434" ht="15.75" customHeight="1">
      <c r="A434" s="19"/>
      <c r="B434" s="19"/>
      <c r="C434" s="19"/>
      <c r="D434" s="19"/>
      <c r="E434" s="19"/>
      <c r="F434" s="19"/>
    </row>
    <row r="435" ht="15.75" customHeight="1">
      <c r="A435" s="19"/>
      <c r="B435" s="19"/>
      <c r="C435" s="19"/>
      <c r="D435" s="19"/>
      <c r="E435" s="19"/>
      <c r="F435" s="19"/>
    </row>
    <row r="436" ht="15.75" customHeight="1">
      <c r="A436" s="19"/>
      <c r="B436" s="19"/>
      <c r="C436" s="19"/>
      <c r="D436" s="19"/>
      <c r="E436" s="19"/>
      <c r="F436" s="19"/>
    </row>
    <row r="437" ht="15.75" customHeight="1">
      <c r="A437" s="19"/>
      <c r="B437" s="19"/>
      <c r="C437" s="19"/>
      <c r="D437" s="19"/>
      <c r="E437" s="19"/>
      <c r="F437" s="19"/>
    </row>
    <row r="438" ht="15.75" customHeight="1">
      <c r="A438" s="19"/>
      <c r="B438" s="19"/>
      <c r="C438" s="19"/>
      <c r="D438" s="19"/>
      <c r="E438" s="19"/>
      <c r="F438" s="19"/>
    </row>
    <row r="439" ht="15.75" customHeight="1">
      <c r="A439" s="19"/>
      <c r="B439" s="19"/>
      <c r="C439" s="19"/>
      <c r="D439" s="19"/>
      <c r="E439" s="19"/>
      <c r="F439" s="19"/>
    </row>
    <row r="440" ht="15.75" customHeight="1">
      <c r="A440" s="19"/>
      <c r="B440" s="19"/>
      <c r="C440" s="19"/>
      <c r="D440" s="19"/>
      <c r="E440" s="19"/>
      <c r="F440" s="19"/>
    </row>
    <row r="441" ht="15.75" customHeight="1">
      <c r="A441" s="19"/>
      <c r="B441" s="19"/>
      <c r="C441" s="19"/>
      <c r="D441" s="19"/>
      <c r="E441" s="19"/>
      <c r="F441" s="19"/>
    </row>
    <row r="442" ht="15.75" customHeight="1">
      <c r="A442" s="19"/>
      <c r="B442" s="19"/>
      <c r="C442" s="19"/>
      <c r="D442" s="19"/>
      <c r="E442" s="19"/>
      <c r="F442" s="19"/>
    </row>
    <row r="443" ht="15.75" customHeight="1">
      <c r="A443" s="19"/>
      <c r="B443" s="19"/>
      <c r="C443" s="19"/>
      <c r="D443" s="19"/>
      <c r="E443" s="19"/>
      <c r="F443" s="19"/>
    </row>
    <row r="444" ht="15.75" customHeight="1">
      <c r="A444" s="19"/>
      <c r="B444" s="19"/>
      <c r="C444" s="19"/>
      <c r="D444" s="19"/>
      <c r="E444" s="19"/>
      <c r="F444" s="19"/>
    </row>
    <row r="445" ht="15.75" customHeight="1">
      <c r="A445" s="19"/>
      <c r="B445" s="19"/>
      <c r="C445" s="19"/>
      <c r="D445" s="19"/>
      <c r="E445" s="19"/>
      <c r="F445" s="19"/>
    </row>
    <row r="446" ht="15.75" customHeight="1">
      <c r="A446" s="19"/>
      <c r="B446" s="19"/>
      <c r="C446" s="19"/>
      <c r="D446" s="19"/>
      <c r="E446" s="19"/>
      <c r="F446" s="19"/>
    </row>
    <row r="447" ht="15.75" customHeight="1">
      <c r="A447" s="19"/>
      <c r="B447" s="19"/>
      <c r="C447" s="19"/>
      <c r="D447" s="19"/>
      <c r="E447" s="19"/>
      <c r="F447" s="19"/>
    </row>
    <row r="448" ht="15.75" customHeight="1">
      <c r="A448" s="19"/>
      <c r="B448" s="19"/>
      <c r="C448" s="19"/>
      <c r="D448" s="19"/>
      <c r="E448" s="19"/>
      <c r="F448" s="19"/>
    </row>
    <row r="449" ht="15.75" customHeight="1">
      <c r="A449" s="19"/>
      <c r="B449" s="19"/>
      <c r="C449" s="19"/>
      <c r="D449" s="19"/>
      <c r="E449" s="19"/>
      <c r="F449" s="19"/>
    </row>
    <row r="450" ht="15.75" customHeight="1">
      <c r="A450" s="19"/>
      <c r="B450" s="19"/>
      <c r="C450" s="19"/>
      <c r="D450" s="19"/>
      <c r="E450" s="19"/>
      <c r="F450" s="19"/>
    </row>
    <row r="451" ht="15.75" customHeight="1">
      <c r="A451" s="19"/>
      <c r="B451" s="19"/>
      <c r="C451" s="19"/>
      <c r="D451" s="19"/>
      <c r="E451" s="19"/>
      <c r="F451" s="19"/>
    </row>
    <row r="452" ht="15.75" customHeight="1">
      <c r="A452" s="19"/>
      <c r="B452" s="19"/>
      <c r="C452" s="19"/>
      <c r="D452" s="19"/>
      <c r="E452" s="19"/>
      <c r="F452" s="19"/>
    </row>
    <row r="453" ht="15.75" customHeight="1">
      <c r="A453" s="19"/>
      <c r="B453" s="19"/>
      <c r="C453" s="19"/>
      <c r="D453" s="19"/>
      <c r="E453" s="19"/>
      <c r="F453" s="19"/>
    </row>
    <row r="454" ht="15.75" customHeight="1">
      <c r="A454" s="19"/>
      <c r="B454" s="19"/>
      <c r="C454" s="19"/>
      <c r="D454" s="19"/>
      <c r="E454" s="19"/>
      <c r="F454" s="19"/>
    </row>
    <row r="455" ht="15.75" customHeight="1">
      <c r="A455" s="19"/>
      <c r="B455" s="19"/>
      <c r="C455" s="19"/>
      <c r="D455" s="19"/>
      <c r="E455" s="19"/>
      <c r="F455" s="19"/>
    </row>
    <row r="456" ht="15.75" customHeight="1">
      <c r="A456" s="19"/>
      <c r="B456" s="19"/>
      <c r="C456" s="19"/>
      <c r="D456" s="19"/>
      <c r="E456" s="19"/>
      <c r="F456" s="19"/>
    </row>
    <row r="457" ht="15.75" customHeight="1">
      <c r="A457" s="19"/>
      <c r="B457" s="19"/>
      <c r="C457" s="19"/>
      <c r="D457" s="19"/>
      <c r="E457" s="19"/>
      <c r="F457" s="19"/>
    </row>
    <row r="458" ht="15.75" customHeight="1">
      <c r="A458" s="19"/>
      <c r="B458" s="19"/>
      <c r="C458" s="19"/>
      <c r="D458" s="19"/>
      <c r="E458" s="19"/>
      <c r="F458" s="19"/>
    </row>
    <row r="459" ht="15.75" customHeight="1">
      <c r="A459" s="19"/>
      <c r="B459" s="19"/>
      <c r="C459" s="19"/>
      <c r="D459" s="19"/>
      <c r="E459" s="19"/>
      <c r="F459" s="19"/>
    </row>
    <row r="460" ht="15.75" customHeight="1">
      <c r="A460" s="19"/>
      <c r="B460" s="19"/>
      <c r="C460" s="19"/>
      <c r="D460" s="19"/>
      <c r="E460" s="19"/>
      <c r="F460" s="19"/>
    </row>
    <row r="461" ht="15.75" customHeight="1">
      <c r="A461" s="19"/>
      <c r="B461" s="19"/>
      <c r="C461" s="19"/>
      <c r="D461" s="19"/>
      <c r="E461" s="19"/>
      <c r="F461" s="19"/>
    </row>
    <row r="462" ht="15.75" customHeight="1">
      <c r="A462" s="19"/>
      <c r="B462" s="19"/>
      <c r="C462" s="19"/>
      <c r="D462" s="19"/>
      <c r="E462" s="19"/>
      <c r="F462" s="19"/>
    </row>
    <row r="463" ht="15.75" customHeight="1">
      <c r="A463" s="19"/>
      <c r="B463" s="19"/>
      <c r="C463" s="19"/>
      <c r="D463" s="19"/>
      <c r="E463" s="19"/>
      <c r="F463" s="19"/>
    </row>
    <row r="464" ht="15.75" customHeight="1">
      <c r="A464" s="19"/>
      <c r="B464" s="19"/>
      <c r="C464" s="19"/>
      <c r="D464" s="19"/>
      <c r="E464" s="19"/>
      <c r="F464" s="19"/>
    </row>
    <row r="465" ht="15.75" customHeight="1">
      <c r="A465" s="19"/>
      <c r="B465" s="19"/>
      <c r="C465" s="19"/>
      <c r="D465" s="19"/>
      <c r="E465" s="19"/>
      <c r="F465" s="19"/>
    </row>
    <row r="466" ht="15.75" customHeight="1">
      <c r="A466" s="19"/>
      <c r="B466" s="19"/>
      <c r="C466" s="19"/>
      <c r="D466" s="19"/>
      <c r="E466" s="19"/>
      <c r="F466" s="19"/>
    </row>
    <row r="467" ht="15.75" customHeight="1">
      <c r="A467" s="19"/>
      <c r="B467" s="19"/>
      <c r="C467" s="19"/>
      <c r="D467" s="19"/>
      <c r="E467" s="19"/>
      <c r="F467" s="19"/>
    </row>
    <row r="468" ht="15.75" customHeight="1">
      <c r="A468" s="19"/>
      <c r="B468" s="19"/>
      <c r="C468" s="19"/>
      <c r="D468" s="19"/>
      <c r="E468" s="19"/>
      <c r="F468" s="19"/>
    </row>
    <row r="469" ht="15.75" customHeight="1">
      <c r="A469" s="19"/>
      <c r="B469" s="19"/>
      <c r="C469" s="19"/>
      <c r="D469" s="19"/>
      <c r="E469" s="19"/>
      <c r="F469" s="19"/>
    </row>
    <row r="470" ht="15.75" customHeight="1">
      <c r="A470" s="19"/>
      <c r="B470" s="19"/>
      <c r="C470" s="19"/>
      <c r="D470" s="19"/>
      <c r="E470" s="19"/>
      <c r="F470" s="19"/>
    </row>
    <row r="471" ht="15.75" customHeight="1">
      <c r="A471" s="19"/>
      <c r="B471" s="19"/>
      <c r="C471" s="19"/>
      <c r="D471" s="19"/>
      <c r="E471" s="19"/>
      <c r="F471" s="19"/>
    </row>
    <row r="472" ht="15.75" customHeight="1">
      <c r="A472" s="19"/>
      <c r="B472" s="19"/>
      <c r="C472" s="19"/>
      <c r="D472" s="19"/>
      <c r="E472" s="19"/>
      <c r="F472" s="19"/>
    </row>
    <row r="473" ht="15.75" customHeight="1">
      <c r="A473" s="19"/>
      <c r="B473" s="19"/>
      <c r="C473" s="19"/>
      <c r="D473" s="19"/>
      <c r="E473" s="19"/>
      <c r="F473" s="19"/>
    </row>
    <row r="474" ht="15.75" customHeight="1">
      <c r="A474" s="19"/>
      <c r="B474" s="19"/>
      <c r="C474" s="19"/>
      <c r="D474" s="19"/>
      <c r="E474" s="19"/>
      <c r="F474" s="19"/>
    </row>
    <row r="475" ht="15.75" customHeight="1">
      <c r="A475" s="19"/>
      <c r="B475" s="19"/>
      <c r="C475" s="19"/>
      <c r="D475" s="19"/>
      <c r="E475" s="19"/>
      <c r="F475" s="19"/>
    </row>
    <row r="476" ht="15.75" customHeight="1">
      <c r="A476" s="19"/>
      <c r="B476" s="19"/>
      <c r="C476" s="19"/>
      <c r="D476" s="19"/>
      <c r="E476" s="19"/>
      <c r="F476" s="19"/>
    </row>
    <row r="477" ht="15.75" customHeight="1">
      <c r="A477" s="19"/>
      <c r="B477" s="19"/>
      <c r="C477" s="19"/>
      <c r="D477" s="19"/>
      <c r="E477" s="19"/>
      <c r="F477" s="19"/>
    </row>
    <row r="478" ht="15.75" customHeight="1">
      <c r="A478" s="19"/>
      <c r="B478" s="19"/>
      <c r="C478" s="19"/>
      <c r="D478" s="19"/>
      <c r="E478" s="19"/>
      <c r="F478" s="19"/>
    </row>
    <row r="479" ht="15.75" customHeight="1">
      <c r="A479" s="19"/>
      <c r="B479" s="19"/>
      <c r="C479" s="19"/>
      <c r="D479" s="19"/>
      <c r="E479" s="19"/>
      <c r="F479" s="19"/>
    </row>
    <row r="480" ht="15.75" customHeight="1">
      <c r="A480" s="19"/>
      <c r="B480" s="19"/>
      <c r="C480" s="19"/>
      <c r="D480" s="19"/>
      <c r="E480" s="19"/>
      <c r="F480" s="19"/>
    </row>
    <row r="481" ht="15.75" customHeight="1">
      <c r="A481" s="19"/>
      <c r="B481" s="19"/>
      <c r="C481" s="19"/>
      <c r="D481" s="19"/>
      <c r="E481" s="19"/>
      <c r="F481" s="19"/>
    </row>
    <row r="482" ht="15.75" customHeight="1">
      <c r="A482" s="19"/>
      <c r="B482" s="19"/>
      <c r="C482" s="19"/>
      <c r="D482" s="19"/>
      <c r="E482" s="19"/>
      <c r="F482" s="19"/>
    </row>
    <row r="483" ht="15.75" customHeight="1">
      <c r="A483" s="19"/>
      <c r="B483" s="19"/>
      <c r="C483" s="19"/>
      <c r="D483" s="19"/>
      <c r="E483" s="19"/>
      <c r="F483" s="19"/>
    </row>
    <row r="484" ht="15.75" customHeight="1">
      <c r="A484" s="19"/>
      <c r="B484" s="19"/>
      <c r="C484" s="19"/>
      <c r="D484" s="19"/>
      <c r="E484" s="19"/>
      <c r="F484" s="19"/>
    </row>
    <row r="485" ht="15.75" customHeight="1">
      <c r="A485" s="19"/>
      <c r="B485" s="19"/>
      <c r="C485" s="19"/>
      <c r="D485" s="19"/>
      <c r="E485" s="19"/>
      <c r="F485" s="19"/>
    </row>
    <row r="486" ht="15.75" customHeight="1">
      <c r="A486" s="19"/>
      <c r="B486" s="19"/>
      <c r="C486" s="19"/>
      <c r="D486" s="19"/>
      <c r="E486" s="19"/>
      <c r="F486" s="19"/>
    </row>
    <row r="487" ht="15.75" customHeight="1">
      <c r="A487" s="19"/>
      <c r="B487" s="19"/>
      <c r="C487" s="19"/>
      <c r="D487" s="19"/>
      <c r="E487" s="19"/>
      <c r="F487" s="19"/>
    </row>
    <row r="488" ht="15.75" customHeight="1">
      <c r="A488" s="19"/>
      <c r="B488" s="19"/>
      <c r="C488" s="19"/>
      <c r="D488" s="19"/>
      <c r="E488" s="19"/>
      <c r="F488" s="19"/>
    </row>
    <row r="489" ht="15.75" customHeight="1">
      <c r="A489" s="19"/>
      <c r="B489" s="19"/>
      <c r="C489" s="19"/>
      <c r="D489" s="19"/>
      <c r="E489" s="19"/>
      <c r="F489" s="19"/>
    </row>
    <row r="490" ht="15.75" customHeight="1">
      <c r="A490" s="19"/>
      <c r="B490" s="19"/>
      <c r="C490" s="19"/>
      <c r="D490" s="19"/>
      <c r="E490" s="19"/>
      <c r="F490" s="19"/>
    </row>
    <row r="491" ht="15.75" customHeight="1">
      <c r="A491" s="19"/>
      <c r="B491" s="19"/>
      <c r="C491" s="19"/>
      <c r="D491" s="19"/>
      <c r="E491" s="19"/>
      <c r="F491" s="19"/>
    </row>
    <row r="492" ht="15.75" customHeight="1">
      <c r="A492" s="19"/>
      <c r="B492" s="19"/>
      <c r="C492" s="19"/>
      <c r="D492" s="19"/>
      <c r="E492" s="19"/>
      <c r="F492" s="19"/>
    </row>
    <row r="493" ht="15.75" customHeight="1">
      <c r="A493" s="19"/>
      <c r="B493" s="19"/>
      <c r="C493" s="19"/>
      <c r="D493" s="19"/>
      <c r="E493" s="19"/>
      <c r="F493" s="19"/>
    </row>
    <row r="494" ht="15.75" customHeight="1">
      <c r="A494" s="19"/>
      <c r="B494" s="19"/>
      <c r="C494" s="19"/>
      <c r="D494" s="19"/>
      <c r="E494" s="19"/>
      <c r="F494" s="19"/>
    </row>
    <row r="495" ht="15.75" customHeight="1">
      <c r="A495" s="19"/>
      <c r="B495" s="19"/>
      <c r="C495" s="19"/>
      <c r="D495" s="19"/>
      <c r="E495" s="19"/>
      <c r="F495" s="19"/>
    </row>
    <row r="496" ht="15.75" customHeight="1">
      <c r="A496" s="19"/>
      <c r="B496" s="19"/>
      <c r="C496" s="19"/>
      <c r="D496" s="19"/>
      <c r="E496" s="19"/>
      <c r="F496" s="19"/>
    </row>
    <row r="497" ht="15.75" customHeight="1">
      <c r="A497" s="19"/>
      <c r="B497" s="19"/>
      <c r="C497" s="19"/>
      <c r="D497" s="19"/>
      <c r="E497" s="19"/>
      <c r="F497" s="19"/>
    </row>
    <row r="498" ht="15.75" customHeight="1">
      <c r="A498" s="19"/>
      <c r="B498" s="19"/>
      <c r="C498" s="19"/>
      <c r="D498" s="19"/>
      <c r="E498" s="19"/>
      <c r="F498" s="19"/>
    </row>
    <row r="499" ht="15.75" customHeight="1">
      <c r="A499" s="19"/>
      <c r="B499" s="19"/>
      <c r="C499" s="19"/>
      <c r="D499" s="19"/>
      <c r="E499" s="19"/>
      <c r="F499" s="19"/>
    </row>
    <row r="500" ht="15.75" customHeight="1">
      <c r="A500" s="19"/>
      <c r="B500" s="19"/>
      <c r="C500" s="19"/>
      <c r="D500" s="19"/>
      <c r="E500" s="19"/>
      <c r="F500" s="19"/>
    </row>
    <row r="501" ht="15.75" customHeight="1">
      <c r="A501" s="19"/>
      <c r="B501" s="19"/>
      <c r="C501" s="19"/>
      <c r="D501" s="19"/>
      <c r="E501" s="19"/>
      <c r="F501" s="19"/>
    </row>
    <row r="502" ht="15.75" customHeight="1">
      <c r="A502" s="19"/>
      <c r="B502" s="19"/>
      <c r="C502" s="19"/>
      <c r="D502" s="19"/>
      <c r="E502" s="19"/>
      <c r="F502" s="19"/>
    </row>
    <row r="503" ht="15.75" customHeight="1">
      <c r="A503" s="19"/>
      <c r="B503" s="19"/>
      <c r="C503" s="19"/>
      <c r="D503" s="19"/>
      <c r="E503" s="19"/>
      <c r="F503" s="19"/>
    </row>
    <row r="504" ht="15.75" customHeight="1">
      <c r="A504" s="19"/>
      <c r="B504" s="19"/>
      <c r="C504" s="19"/>
      <c r="D504" s="19"/>
      <c r="E504" s="19"/>
      <c r="F504" s="19"/>
    </row>
    <row r="505" ht="15.75" customHeight="1">
      <c r="A505" s="19"/>
      <c r="B505" s="19"/>
      <c r="C505" s="19"/>
      <c r="D505" s="19"/>
      <c r="E505" s="19"/>
      <c r="F505" s="19"/>
    </row>
    <row r="506" ht="15.75" customHeight="1">
      <c r="A506" s="19"/>
      <c r="B506" s="19"/>
      <c r="C506" s="19"/>
      <c r="D506" s="19"/>
      <c r="E506" s="19"/>
      <c r="F506" s="19"/>
    </row>
    <row r="507" ht="15.75" customHeight="1">
      <c r="A507" s="19"/>
      <c r="B507" s="19"/>
      <c r="C507" s="19"/>
      <c r="D507" s="19"/>
      <c r="E507" s="19"/>
      <c r="F507" s="19"/>
    </row>
    <row r="508" ht="15.75" customHeight="1">
      <c r="A508" s="19"/>
      <c r="B508" s="19"/>
      <c r="C508" s="19"/>
      <c r="D508" s="19"/>
      <c r="E508" s="19"/>
      <c r="F508" s="19"/>
    </row>
    <row r="509" ht="15.75" customHeight="1">
      <c r="A509" s="19"/>
      <c r="B509" s="19"/>
      <c r="C509" s="19"/>
      <c r="D509" s="19"/>
      <c r="E509" s="19"/>
      <c r="F509" s="19"/>
    </row>
    <row r="510" ht="15.75" customHeight="1">
      <c r="A510" s="19"/>
      <c r="B510" s="19"/>
      <c r="C510" s="19"/>
      <c r="D510" s="19"/>
      <c r="E510" s="19"/>
      <c r="F510" s="19"/>
    </row>
    <row r="511" ht="15.75" customHeight="1">
      <c r="A511" s="19"/>
      <c r="B511" s="19"/>
      <c r="C511" s="19"/>
      <c r="D511" s="19"/>
      <c r="E511" s="19"/>
      <c r="F511" s="19"/>
    </row>
    <row r="512" ht="15.75" customHeight="1">
      <c r="A512" s="19"/>
      <c r="B512" s="19"/>
      <c r="C512" s="19"/>
      <c r="D512" s="19"/>
      <c r="E512" s="19"/>
      <c r="F512" s="19"/>
    </row>
    <row r="513" ht="15.75" customHeight="1">
      <c r="A513" s="19"/>
      <c r="B513" s="19"/>
      <c r="C513" s="19"/>
      <c r="D513" s="19"/>
      <c r="E513" s="19"/>
      <c r="F513" s="19"/>
    </row>
    <row r="514" ht="15.75" customHeight="1">
      <c r="A514" s="19"/>
      <c r="B514" s="19"/>
      <c r="C514" s="19"/>
      <c r="D514" s="19"/>
      <c r="E514" s="19"/>
      <c r="F514" s="19"/>
    </row>
    <row r="515" ht="15.75" customHeight="1">
      <c r="A515" s="19"/>
      <c r="B515" s="19"/>
      <c r="C515" s="19"/>
      <c r="D515" s="19"/>
      <c r="E515" s="19"/>
      <c r="F515" s="19"/>
    </row>
    <row r="516" ht="15.75" customHeight="1">
      <c r="A516" s="19"/>
      <c r="B516" s="19"/>
      <c r="C516" s="19"/>
      <c r="D516" s="19"/>
      <c r="E516" s="19"/>
      <c r="F516" s="19"/>
    </row>
    <row r="517" ht="15.75" customHeight="1">
      <c r="A517" s="19"/>
      <c r="B517" s="19"/>
      <c r="C517" s="19"/>
      <c r="D517" s="19"/>
      <c r="E517" s="19"/>
      <c r="F517" s="19"/>
    </row>
    <row r="518" ht="15.75" customHeight="1">
      <c r="A518" s="19"/>
      <c r="B518" s="19"/>
      <c r="C518" s="19"/>
      <c r="D518" s="19"/>
      <c r="E518" s="19"/>
      <c r="F518" s="19"/>
    </row>
    <row r="519" ht="15.75" customHeight="1">
      <c r="A519" s="19"/>
      <c r="B519" s="19"/>
      <c r="C519" s="19"/>
      <c r="D519" s="19"/>
      <c r="E519" s="19"/>
      <c r="F519" s="19"/>
    </row>
    <row r="520" ht="15.75" customHeight="1">
      <c r="A520" s="19"/>
      <c r="B520" s="19"/>
      <c r="C520" s="19"/>
      <c r="D520" s="19"/>
      <c r="E520" s="19"/>
      <c r="F520" s="19"/>
    </row>
    <row r="521" ht="15.75" customHeight="1">
      <c r="A521" s="19"/>
      <c r="B521" s="19"/>
      <c r="C521" s="19"/>
      <c r="D521" s="19"/>
      <c r="E521" s="19"/>
      <c r="F521" s="19"/>
    </row>
    <row r="522" ht="15.75" customHeight="1">
      <c r="A522" s="19"/>
      <c r="B522" s="19"/>
      <c r="C522" s="19"/>
      <c r="D522" s="19"/>
      <c r="E522" s="19"/>
      <c r="F522" s="19"/>
    </row>
    <row r="523" ht="15.75" customHeight="1">
      <c r="A523" s="19"/>
      <c r="B523" s="19"/>
      <c r="C523" s="19"/>
      <c r="D523" s="19"/>
      <c r="E523" s="19"/>
      <c r="F523" s="19"/>
    </row>
    <row r="524" ht="15.75" customHeight="1">
      <c r="A524" s="19"/>
      <c r="B524" s="19"/>
      <c r="C524" s="19"/>
      <c r="D524" s="19"/>
      <c r="E524" s="19"/>
      <c r="F524" s="19"/>
    </row>
    <row r="525" ht="15.75" customHeight="1">
      <c r="A525" s="19"/>
      <c r="B525" s="19"/>
      <c r="C525" s="19"/>
      <c r="D525" s="19"/>
      <c r="E525" s="19"/>
      <c r="F525" s="19"/>
    </row>
    <row r="526" ht="15.75" customHeight="1">
      <c r="A526" s="19"/>
      <c r="B526" s="19"/>
      <c r="C526" s="19"/>
      <c r="D526" s="19"/>
      <c r="E526" s="19"/>
      <c r="F526" s="19"/>
    </row>
    <row r="527" ht="15.75" customHeight="1">
      <c r="A527" s="19"/>
      <c r="B527" s="19"/>
      <c r="C527" s="19"/>
      <c r="D527" s="19"/>
      <c r="E527" s="19"/>
      <c r="F527" s="19"/>
    </row>
    <row r="528" ht="15.75" customHeight="1">
      <c r="A528" s="19"/>
      <c r="B528" s="19"/>
      <c r="C528" s="19"/>
      <c r="D528" s="19"/>
      <c r="E528" s="19"/>
      <c r="F528" s="19"/>
    </row>
    <row r="529" ht="15.75" customHeight="1">
      <c r="A529" s="19"/>
      <c r="B529" s="19"/>
      <c r="C529" s="19"/>
      <c r="D529" s="19"/>
      <c r="E529" s="19"/>
      <c r="F529" s="19"/>
    </row>
    <row r="530" ht="15.75" customHeight="1">
      <c r="A530" s="19"/>
      <c r="B530" s="19"/>
      <c r="C530" s="19"/>
      <c r="D530" s="19"/>
      <c r="E530" s="19"/>
      <c r="F530" s="19"/>
    </row>
    <row r="531" ht="15.75" customHeight="1">
      <c r="A531" s="19"/>
      <c r="B531" s="19"/>
      <c r="C531" s="19"/>
      <c r="D531" s="19"/>
      <c r="E531" s="19"/>
      <c r="F531" s="19"/>
    </row>
    <row r="532" ht="15.75" customHeight="1">
      <c r="A532" s="19"/>
      <c r="B532" s="19"/>
      <c r="C532" s="19"/>
      <c r="D532" s="19"/>
      <c r="E532" s="19"/>
      <c r="F532" s="19"/>
    </row>
    <row r="533" ht="15.75" customHeight="1">
      <c r="A533" s="19"/>
      <c r="B533" s="19"/>
      <c r="C533" s="19"/>
      <c r="D533" s="19"/>
      <c r="E533" s="19"/>
      <c r="F533" s="19"/>
    </row>
    <row r="534" ht="15.75" customHeight="1">
      <c r="A534" s="19"/>
      <c r="B534" s="19"/>
      <c r="C534" s="19"/>
      <c r="D534" s="19"/>
      <c r="E534" s="19"/>
      <c r="F534" s="19"/>
    </row>
    <row r="535" ht="15.75" customHeight="1">
      <c r="A535" s="19"/>
      <c r="B535" s="19"/>
      <c r="C535" s="19"/>
      <c r="D535" s="19"/>
      <c r="E535" s="19"/>
      <c r="F535" s="19"/>
    </row>
    <row r="536" ht="15.75" customHeight="1">
      <c r="A536" s="19"/>
      <c r="B536" s="19"/>
      <c r="C536" s="19"/>
      <c r="D536" s="19"/>
      <c r="E536" s="19"/>
      <c r="F536" s="19"/>
    </row>
    <row r="537" ht="15.75" customHeight="1">
      <c r="A537" s="19"/>
      <c r="B537" s="19"/>
      <c r="C537" s="19"/>
      <c r="D537" s="19"/>
      <c r="E537" s="19"/>
      <c r="F537" s="19"/>
    </row>
    <row r="538" ht="15.75" customHeight="1">
      <c r="A538" s="19"/>
      <c r="B538" s="19"/>
      <c r="C538" s="19"/>
      <c r="D538" s="19"/>
      <c r="E538" s="19"/>
      <c r="F538" s="19"/>
    </row>
    <row r="539" ht="15.75" customHeight="1">
      <c r="A539" s="19"/>
      <c r="B539" s="19"/>
      <c r="C539" s="19"/>
      <c r="D539" s="19"/>
      <c r="E539" s="19"/>
      <c r="F539" s="19"/>
    </row>
    <row r="540" ht="15.75" customHeight="1">
      <c r="A540" s="19"/>
      <c r="B540" s="19"/>
      <c r="C540" s="19"/>
      <c r="D540" s="19"/>
      <c r="E540" s="19"/>
      <c r="F540" s="19"/>
    </row>
    <row r="541" ht="15.75" customHeight="1">
      <c r="A541" s="19"/>
      <c r="B541" s="19"/>
      <c r="C541" s="19"/>
      <c r="D541" s="19"/>
      <c r="E541" s="19"/>
      <c r="F541" s="19"/>
    </row>
    <row r="542" ht="15.75" customHeight="1">
      <c r="A542" s="19"/>
      <c r="B542" s="19"/>
      <c r="C542" s="19"/>
      <c r="D542" s="19"/>
      <c r="E542" s="19"/>
      <c r="F542" s="19"/>
    </row>
    <row r="543" ht="15.75" customHeight="1">
      <c r="A543" s="19"/>
      <c r="B543" s="19"/>
      <c r="C543" s="19"/>
      <c r="D543" s="19"/>
      <c r="E543" s="19"/>
      <c r="F543" s="19"/>
    </row>
    <row r="544" ht="15.75" customHeight="1">
      <c r="A544" s="19"/>
      <c r="B544" s="19"/>
      <c r="C544" s="19"/>
      <c r="D544" s="19"/>
      <c r="E544" s="19"/>
      <c r="F544" s="19"/>
    </row>
    <row r="545" ht="15.75" customHeight="1">
      <c r="A545" s="19"/>
      <c r="B545" s="19"/>
      <c r="C545" s="19"/>
      <c r="D545" s="19"/>
      <c r="E545" s="19"/>
      <c r="F545" s="19"/>
    </row>
    <row r="546" ht="15.75" customHeight="1">
      <c r="A546" s="19"/>
      <c r="B546" s="19"/>
      <c r="C546" s="19"/>
      <c r="D546" s="19"/>
      <c r="E546" s="19"/>
      <c r="F546" s="19"/>
    </row>
    <row r="547" ht="15.75" customHeight="1">
      <c r="A547" s="19"/>
      <c r="B547" s="19"/>
      <c r="C547" s="19"/>
      <c r="D547" s="19"/>
      <c r="E547" s="19"/>
      <c r="F547" s="19"/>
    </row>
    <row r="548" ht="15.75" customHeight="1">
      <c r="A548" s="19"/>
      <c r="B548" s="19"/>
      <c r="C548" s="19"/>
      <c r="D548" s="19"/>
      <c r="E548" s="19"/>
      <c r="F548" s="19"/>
    </row>
    <row r="549" ht="15.75" customHeight="1">
      <c r="A549" s="19"/>
      <c r="B549" s="19"/>
      <c r="C549" s="19"/>
      <c r="D549" s="19"/>
      <c r="E549" s="19"/>
      <c r="F549" s="19"/>
    </row>
    <row r="550" ht="15.75" customHeight="1">
      <c r="A550" s="19"/>
      <c r="B550" s="19"/>
      <c r="C550" s="19"/>
      <c r="D550" s="19"/>
      <c r="E550" s="19"/>
      <c r="F550" s="19"/>
    </row>
    <row r="551" ht="15.75" customHeight="1">
      <c r="A551" s="19"/>
      <c r="B551" s="19"/>
      <c r="C551" s="19"/>
      <c r="D551" s="19"/>
      <c r="E551" s="19"/>
      <c r="F551" s="19"/>
    </row>
    <row r="552" ht="15.75" customHeight="1">
      <c r="A552" s="19"/>
      <c r="B552" s="19"/>
      <c r="C552" s="19"/>
      <c r="D552" s="19"/>
      <c r="E552" s="19"/>
      <c r="F552" s="19"/>
    </row>
    <row r="553" ht="15.75" customHeight="1">
      <c r="A553" s="19"/>
      <c r="B553" s="19"/>
      <c r="C553" s="19"/>
      <c r="D553" s="19"/>
      <c r="E553" s="19"/>
      <c r="F553" s="19"/>
    </row>
    <row r="554" ht="15.75" customHeight="1">
      <c r="A554" s="19"/>
      <c r="B554" s="19"/>
      <c r="C554" s="19"/>
      <c r="D554" s="19"/>
      <c r="E554" s="19"/>
      <c r="F554" s="19"/>
    </row>
    <row r="555" ht="15.75" customHeight="1">
      <c r="A555" s="19"/>
      <c r="B555" s="19"/>
      <c r="C555" s="19"/>
      <c r="D555" s="19"/>
      <c r="E555" s="19"/>
      <c r="F555" s="19"/>
    </row>
    <row r="556" ht="15.75" customHeight="1">
      <c r="A556" s="19"/>
      <c r="B556" s="19"/>
      <c r="C556" s="19"/>
      <c r="D556" s="19"/>
      <c r="E556" s="19"/>
      <c r="F556" s="19"/>
    </row>
    <row r="557" ht="15.75" customHeight="1">
      <c r="A557" s="19"/>
      <c r="B557" s="19"/>
      <c r="C557" s="19"/>
      <c r="D557" s="19"/>
      <c r="E557" s="19"/>
      <c r="F557" s="19"/>
    </row>
    <row r="558" ht="15.75" customHeight="1">
      <c r="A558" s="19"/>
      <c r="B558" s="19"/>
      <c r="C558" s="19"/>
      <c r="D558" s="19"/>
      <c r="E558" s="19"/>
      <c r="F558" s="19"/>
    </row>
    <row r="559" ht="15.75" customHeight="1">
      <c r="A559" s="19"/>
      <c r="B559" s="19"/>
      <c r="C559" s="19"/>
      <c r="D559" s="19"/>
      <c r="E559" s="19"/>
      <c r="F559" s="19"/>
    </row>
    <row r="560" ht="15.75" customHeight="1">
      <c r="A560" s="19"/>
      <c r="B560" s="19"/>
      <c r="C560" s="19"/>
      <c r="D560" s="19"/>
      <c r="E560" s="19"/>
      <c r="F560" s="19"/>
    </row>
    <row r="561" ht="15.75" customHeight="1">
      <c r="A561" s="19"/>
      <c r="B561" s="19"/>
      <c r="C561" s="19"/>
      <c r="D561" s="19"/>
      <c r="E561" s="19"/>
      <c r="F561" s="19"/>
    </row>
    <row r="562" ht="15.75" customHeight="1">
      <c r="A562" s="19"/>
      <c r="B562" s="19"/>
      <c r="C562" s="19"/>
      <c r="D562" s="19"/>
      <c r="E562" s="19"/>
      <c r="F562" s="19"/>
    </row>
    <row r="563" ht="15.75" customHeight="1">
      <c r="A563" s="19"/>
      <c r="B563" s="19"/>
      <c r="C563" s="19"/>
      <c r="D563" s="19"/>
      <c r="E563" s="19"/>
      <c r="F563" s="19"/>
    </row>
    <row r="564" ht="15.75" customHeight="1">
      <c r="A564" s="19"/>
      <c r="B564" s="19"/>
      <c r="C564" s="19"/>
      <c r="D564" s="19"/>
      <c r="E564" s="19"/>
      <c r="F564" s="19"/>
    </row>
    <row r="565" ht="15.75" customHeight="1">
      <c r="A565" s="19"/>
      <c r="B565" s="19"/>
      <c r="C565" s="19"/>
      <c r="D565" s="19"/>
      <c r="E565" s="19"/>
      <c r="F565" s="19"/>
    </row>
    <row r="566" ht="15.75" customHeight="1">
      <c r="A566" s="19"/>
      <c r="B566" s="19"/>
      <c r="C566" s="19"/>
      <c r="D566" s="19"/>
      <c r="E566" s="19"/>
      <c r="F566" s="19"/>
    </row>
    <row r="567" ht="15.75" customHeight="1">
      <c r="A567" s="19"/>
      <c r="B567" s="19"/>
      <c r="C567" s="19"/>
      <c r="D567" s="19"/>
      <c r="E567" s="19"/>
      <c r="F567" s="19"/>
    </row>
    <row r="568" ht="15.75" customHeight="1">
      <c r="A568" s="19"/>
      <c r="B568" s="19"/>
      <c r="C568" s="19"/>
      <c r="D568" s="19"/>
      <c r="E568" s="19"/>
      <c r="F568" s="19"/>
    </row>
    <row r="569" ht="15.75" customHeight="1">
      <c r="A569" s="19"/>
      <c r="B569" s="19"/>
      <c r="C569" s="19"/>
      <c r="D569" s="19"/>
      <c r="E569" s="19"/>
      <c r="F569" s="19"/>
    </row>
    <row r="570" ht="15.75" customHeight="1">
      <c r="A570" s="19"/>
      <c r="B570" s="19"/>
      <c r="C570" s="19"/>
      <c r="D570" s="19"/>
      <c r="E570" s="19"/>
      <c r="F570" s="19"/>
    </row>
    <row r="571" ht="15.75" customHeight="1">
      <c r="A571" s="19"/>
      <c r="B571" s="19"/>
      <c r="C571" s="19"/>
      <c r="D571" s="19"/>
      <c r="E571" s="19"/>
      <c r="F571" s="19"/>
    </row>
    <row r="572" ht="15.75" customHeight="1">
      <c r="A572" s="19"/>
      <c r="B572" s="19"/>
      <c r="C572" s="19"/>
      <c r="D572" s="19"/>
      <c r="E572" s="19"/>
      <c r="F572" s="19"/>
    </row>
    <row r="573" ht="15.75" customHeight="1">
      <c r="A573" s="19"/>
      <c r="B573" s="19"/>
      <c r="C573" s="19"/>
      <c r="D573" s="19"/>
      <c r="E573" s="19"/>
      <c r="F573" s="19"/>
    </row>
    <row r="574" ht="15.75" customHeight="1">
      <c r="A574" s="19"/>
      <c r="B574" s="19"/>
      <c r="C574" s="19"/>
      <c r="D574" s="19"/>
      <c r="E574" s="19"/>
      <c r="F574" s="19"/>
    </row>
    <row r="575" ht="15.75" customHeight="1">
      <c r="A575" s="19"/>
      <c r="B575" s="19"/>
      <c r="C575" s="19"/>
      <c r="D575" s="19"/>
      <c r="E575" s="19"/>
      <c r="F575" s="19"/>
    </row>
    <row r="576" ht="15.75" customHeight="1">
      <c r="A576" s="19"/>
      <c r="B576" s="19"/>
      <c r="C576" s="19"/>
      <c r="D576" s="19"/>
      <c r="E576" s="19"/>
      <c r="F576" s="19"/>
    </row>
    <row r="577" ht="15.75" customHeight="1">
      <c r="A577" s="19"/>
      <c r="B577" s="19"/>
      <c r="C577" s="19"/>
      <c r="D577" s="19"/>
      <c r="E577" s="19"/>
      <c r="F577" s="19"/>
    </row>
    <row r="578" ht="15.75" customHeight="1">
      <c r="A578" s="19"/>
      <c r="B578" s="19"/>
      <c r="C578" s="19"/>
      <c r="D578" s="19"/>
      <c r="E578" s="19"/>
      <c r="F578" s="19"/>
    </row>
    <row r="579" ht="15.75" customHeight="1">
      <c r="A579" s="19"/>
      <c r="B579" s="19"/>
      <c r="C579" s="19"/>
      <c r="D579" s="19"/>
      <c r="E579" s="19"/>
      <c r="F579" s="19"/>
    </row>
    <row r="580" ht="15.75" customHeight="1">
      <c r="A580" s="19"/>
      <c r="B580" s="19"/>
      <c r="C580" s="19"/>
      <c r="D580" s="19"/>
      <c r="E580" s="19"/>
      <c r="F580" s="19"/>
    </row>
    <row r="581" ht="15.75" customHeight="1">
      <c r="A581" s="19"/>
      <c r="B581" s="19"/>
      <c r="C581" s="19"/>
      <c r="D581" s="19"/>
      <c r="E581" s="19"/>
      <c r="F581" s="19"/>
    </row>
    <row r="582" ht="15.75" customHeight="1">
      <c r="A582" s="19"/>
      <c r="B582" s="19"/>
      <c r="C582" s="19"/>
      <c r="D582" s="19"/>
      <c r="E582" s="19"/>
      <c r="F582" s="19"/>
    </row>
    <row r="583" ht="15.75" customHeight="1">
      <c r="A583" s="19"/>
      <c r="B583" s="19"/>
      <c r="C583" s="19"/>
      <c r="D583" s="19"/>
      <c r="E583" s="19"/>
      <c r="F583" s="19"/>
    </row>
    <row r="584" ht="15.75" customHeight="1">
      <c r="A584" s="19"/>
      <c r="B584" s="19"/>
      <c r="C584" s="19"/>
      <c r="D584" s="19"/>
      <c r="E584" s="19"/>
      <c r="F584" s="19"/>
    </row>
    <row r="585" ht="15.75" customHeight="1">
      <c r="A585" s="19"/>
      <c r="B585" s="19"/>
      <c r="C585" s="19"/>
      <c r="D585" s="19"/>
      <c r="E585" s="19"/>
      <c r="F585" s="19"/>
    </row>
    <row r="586" ht="15.75" customHeight="1">
      <c r="A586" s="19"/>
      <c r="B586" s="19"/>
      <c r="C586" s="19"/>
      <c r="D586" s="19"/>
      <c r="E586" s="19"/>
      <c r="F586" s="19"/>
    </row>
    <row r="587" ht="15.75" customHeight="1">
      <c r="A587" s="19"/>
      <c r="B587" s="19"/>
      <c r="C587" s="19"/>
      <c r="D587" s="19"/>
      <c r="E587" s="19"/>
      <c r="F587" s="19"/>
    </row>
    <row r="588" ht="15.75" customHeight="1">
      <c r="A588" s="19"/>
      <c r="B588" s="19"/>
      <c r="C588" s="19"/>
      <c r="D588" s="19"/>
      <c r="E588" s="19"/>
      <c r="F588" s="19"/>
    </row>
    <row r="589" ht="15.75" customHeight="1">
      <c r="A589" s="19"/>
      <c r="B589" s="19"/>
      <c r="C589" s="19"/>
      <c r="D589" s="19"/>
      <c r="E589" s="19"/>
      <c r="F589" s="19"/>
    </row>
    <row r="590" ht="15.75" customHeight="1">
      <c r="A590" s="19"/>
      <c r="B590" s="19"/>
      <c r="C590" s="19"/>
      <c r="D590" s="19"/>
      <c r="E590" s="19"/>
      <c r="F590" s="19"/>
    </row>
    <row r="591" ht="15.75" customHeight="1">
      <c r="A591" s="19"/>
      <c r="B591" s="19"/>
      <c r="C591" s="19"/>
      <c r="D591" s="19"/>
      <c r="E591" s="19"/>
      <c r="F591" s="19"/>
    </row>
    <row r="592" ht="15.75" customHeight="1">
      <c r="A592" s="19"/>
      <c r="B592" s="19"/>
      <c r="C592" s="19"/>
      <c r="D592" s="19"/>
      <c r="E592" s="19"/>
      <c r="F592" s="19"/>
    </row>
    <row r="593" ht="15.75" customHeight="1">
      <c r="A593" s="19"/>
      <c r="B593" s="19"/>
      <c r="C593" s="19"/>
      <c r="D593" s="19"/>
      <c r="E593" s="19"/>
      <c r="F593" s="19"/>
    </row>
    <row r="594" ht="15.75" customHeight="1">
      <c r="A594" s="19"/>
      <c r="B594" s="19"/>
      <c r="C594" s="19"/>
      <c r="D594" s="19"/>
      <c r="E594" s="19"/>
      <c r="F594" s="19"/>
    </row>
    <row r="595" ht="15.75" customHeight="1">
      <c r="A595" s="19"/>
      <c r="B595" s="19"/>
      <c r="C595" s="19"/>
      <c r="D595" s="19"/>
      <c r="E595" s="19"/>
      <c r="F595" s="19"/>
    </row>
    <row r="596" ht="15.75" customHeight="1">
      <c r="A596" s="19"/>
      <c r="B596" s="19"/>
      <c r="C596" s="19"/>
      <c r="D596" s="19"/>
      <c r="E596" s="19"/>
      <c r="F596" s="19"/>
    </row>
    <row r="597" ht="15.75" customHeight="1">
      <c r="A597" s="19"/>
      <c r="B597" s="19"/>
      <c r="C597" s="19"/>
      <c r="D597" s="19"/>
      <c r="E597" s="19"/>
      <c r="F597" s="19"/>
    </row>
    <row r="598" ht="15.75" customHeight="1">
      <c r="A598" s="19"/>
      <c r="B598" s="19"/>
      <c r="C598" s="19"/>
      <c r="D598" s="19"/>
      <c r="E598" s="19"/>
      <c r="F598" s="19"/>
    </row>
    <row r="599" ht="15.75" customHeight="1">
      <c r="A599" s="19"/>
      <c r="B599" s="19"/>
      <c r="C599" s="19"/>
      <c r="D599" s="19"/>
      <c r="E599" s="19"/>
      <c r="F599" s="19"/>
    </row>
    <row r="600" ht="15.75" customHeight="1">
      <c r="A600" s="19"/>
      <c r="B600" s="19"/>
      <c r="C600" s="19"/>
      <c r="D600" s="19"/>
      <c r="E600" s="19"/>
      <c r="F600" s="19"/>
    </row>
    <row r="601" ht="15.75" customHeight="1">
      <c r="A601" s="19"/>
      <c r="B601" s="19"/>
      <c r="C601" s="19"/>
      <c r="D601" s="19"/>
      <c r="E601" s="19"/>
      <c r="F601" s="19"/>
    </row>
    <row r="602" ht="15.75" customHeight="1">
      <c r="A602" s="19"/>
      <c r="B602" s="19"/>
      <c r="C602" s="19"/>
      <c r="D602" s="19"/>
      <c r="E602" s="19"/>
      <c r="F602" s="19"/>
    </row>
    <row r="603" ht="15.75" customHeight="1">
      <c r="A603" s="19"/>
      <c r="B603" s="19"/>
      <c r="C603" s="19"/>
      <c r="D603" s="19"/>
      <c r="E603" s="19"/>
      <c r="F603" s="19"/>
    </row>
    <row r="604" ht="15.75" customHeight="1">
      <c r="A604" s="19"/>
      <c r="B604" s="19"/>
      <c r="C604" s="19"/>
      <c r="D604" s="19"/>
      <c r="E604" s="19"/>
      <c r="F604" s="19"/>
    </row>
    <row r="605" ht="15.75" customHeight="1">
      <c r="A605" s="19"/>
      <c r="B605" s="19"/>
      <c r="C605" s="19"/>
      <c r="D605" s="19"/>
      <c r="E605" s="19"/>
      <c r="F605" s="19"/>
    </row>
    <row r="606" ht="15.75" customHeight="1">
      <c r="A606" s="19"/>
      <c r="B606" s="19"/>
      <c r="C606" s="19"/>
      <c r="D606" s="19"/>
      <c r="E606" s="19"/>
      <c r="F606" s="19"/>
    </row>
    <row r="607" ht="15.75" customHeight="1">
      <c r="A607" s="19"/>
      <c r="B607" s="19"/>
      <c r="C607" s="19"/>
      <c r="D607" s="19"/>
      <c r="E607" s="19"/>
      <c r="F607" s="19"/>
    </row>
    <row r="608" ht="15.75" customHeight="1">
      <c r="A608" s="19"/>
      <c r="B608" s="19"/>
      <c r="C608" s="19"/>
      <c r="D608" s="19"/>
      <c r="E608" s="19"/>
      <c r="F608" s="19"/>
    </row>
    <row r="609" ht="15.75" customHeight="1">
      <c r="A609" s="19"/>
      <c r="B609" s="19"/>
      <c r="C609" s="19"/>
      <c r="D609" s="19"/>
      <c r="E609" s="19"/>
      <c r="F609" s="19"/>
    </row>
    <row r="610" ht="15.75" customHeight="1">
      <c r="A610" s="19"/>
      <c r="B610" s="19"/>
      <c r="C610" s="19"/>
      <c r="D610" s="19"/>
      <c r="E610" s="19"/>
      <c r="F610" s="19"/>
    </row>
    <row r="611" ht="15.75" customHeight="1">
      <c r="A611" s="19"/>
      <c r="B611" s="19"/>
      <c r="C611" s="19"/>
      <c r="D611" s="19"/>
      <c r="E611" s="19"/>
      <c r="F611" s="19"/>
    </row>
    <row r="612" ht="15.75" customHeight="1">
      <c r="A612" s="19"/>
      <c r="B612" s="19"/>
      <c r="C612" s="19"/>
      <c r="D612" s="19"/>
      <c r="E612" s="19"/>
      <c r="F612" s="19"/>
    </row>
    <row r="613" ht="15.75" customHeight="1">
      <c r="A613" s="19"/>
      <c r="B613" s="19"/>
      <c r="C613" s="19"/>
      <c r="D613" s="19"/>
      <c r="E613" s="19"/>
      <c r="F613" s="19"/>
    </row>
    <row r="614" ht="15.75" customHeight="1">
      <c r="A614" s="19"/>
      <c r="B614" s="19"/>
      <c r="C614" s="19"/>
      <c r="D614" s="19"/>
      <c r="E614" s="19"/>
      <c r="F614" s="19"/>
    </row>
    <row r="615" ht="15.75" customHeight="1">
      <c r="A615" s="19"/>
      <c r="B615" s="19"/>
      <c r="C615" s="19"/>
      <c r="D615" s="19"/>
      <c r="E615" s="19"/>
      <c r="F615" s="19"/>
    </row>
    <row r="616" ht="15.75" customHeight="1">
      <c r="A616" s="19"/>
      <c r="B616" s="19"/>
      <c r="C616" s="19"/>
      <c r="D616" s="19"/>
      <c r="E616" s="19"/>
      <c r="F616" s="19"/>
    </row>
    <row r="617" ht="15.75" customHeight="1">
      <c r="A617" s="19"/>
      <c r="B617" s="19"/>
      <c r="C617" s="19"/>
      <c r="D617" s="19"/>
      <c r="E617" s="19"/>
      <c r="F617" s="19"/>
    </row>
    <row r="618" ht="15.75" customHeight="1">
      <c r="A618" s="19"/>
      <c r="B618" s="19"/>
      <c r="C618" s="19"/>
      <c r="D618" s="19"/>
      <c r="E618" s="19"/>
      <c r="F618" s="19"/>
    </row>
    <row r="619" ht="15.75" customHeight="1">
      <c r="A619" s="19"/>
      <c r="B619" s="19"/>
      <c r="C619" s="19"/>
      <c r="D619" s="19"/>
      <c r="E619" s="19"/>
      <c r="F619" s="19"/>
    </row>
    <row r="620" ht="15.75" customHeight="1">
      <c r="A620" s="19"/>
      <c r="B620" s="19"/>
      <c r="C620" s="19"/>
      <c r="D620" s="19"/>
      <c r="E620" s="19"/>
      <c r="F620" s="19"/>
    </row>
    <row r="621" ht="15.75" customHeight="1">
      <c r="A621" s="19"/>
      <c r="B621" s="19"/>
      <c r="C621" s="19"/>
      <c r="D621" s="19"/>
      <c r="E621" s="19"/>
      <c r="F621" s="19"/>
    </row>
    <row r="622" ht="15.75" customHeight="1">
      <c r="A622" s="19"/>
      <c r="B622" s="19"/>
      <c r="C622" s="19"/>
      <c r="D622" s="19"/>
      <c r="E622" s="19"/>
      <c r="F622" s="19"/>
    </row>
    <row r="623" ht="15.75" customHeight="1">
      <c r="A623" s="19"/>
      <c r="B623" s="19"/>
      <c r="C623" s="19"/>
      <c r="D623" s="19"/>
      <c r="E623" s="19"/>
      <c r="F623" s="19"/>
    </row>
    <row r="624" ht="15.75" customHeight="1">
      <c r="A624" s="19"/>
      <c r="B624" s="19"/>
      <c r="C624" s="19"/>
      <c r="D624" s="19"/>
      <c r="E624" s="19"/>
      <c r="F624" s="19"/>
    </row>
    <row r="625" ht="15.75" customHeight="1">
      <c r="A625" s="19"/>
      <c r="B625" s="19"/>
      <c r="C625" s="19"/>
      <c r="D625" s="19"/>
      <c r="E625" s="19"/>
      <c r="F625" s="19"/>
    </row>
    <row r="626" ht="15.75" customHeight="1">
      <c r="A626" s="19"/>
      <c r="B626" s="19"/>
      <c r="C626" s="19"/>
      <c r="D626" s="19"/>
      <c r="E626" s="19"/>
      <c r="F626" s="19"/>
    </row>
    <row r="627" ht="15.75" customHeight="1">
      <c r="A627" s="19"/>
      <c r="B627" s="19"/>
      <c r="C627" s="19"/>
      <c r="D627" s="19"/>
      <c r="E627" s="19"/>
      <c r="F627" s="19"/>
    </row>
    <row r="628" ht="15.75" customHeight="1">
      <c r="A628" s="19"/>
      <c r="B628" s="19"/>
      <c r="C628" s="19"/>
      <c r="D628" s="19"/>
      <c r="E628" s="19"/>
      <c r="F628" s="19"/>
    </row>
    <row r="629" ht="15.75" customHeight="1">
      <c r="A629" s="19"/>
      <c r="B629" s="19"/>
      <c r="C629" s="19"/>
      <c r="D629" s="19"/>
      <c r="E629" s="19"/>
      <c r="F629" s="19"/>
    </row>
    <row r="630" ht="15.75" customHeight="1">
      <c r="A630" s="19"/>
      <c r="B630" s="19"/>
      <c r="C630" s="19"/>
      <c r="D630" s="19"/>
      <c r="E630" s="19"/>
      <c r="F630" s="19"/>
    </row>
    <row r="631" ht="15.75" customHeight="1">
      <c r="A631" s="19"/>
      <c r="B631" s="19"/>
      <c r="C631" s="19"/>
      <c r="D631" s="19"/>
      <c r="E631" s="19"/>
      <c r="F631" s="19"/>
    </row>
    <row r="632" ht="15.75" customHeight="1">
      <c r="A632" s="19"/>
      <c r="B632" s="19"/>
      <c r="C632" s="19"/>
      <c r="D632" s="19"/>
      <c r="E632" s="19"/>
      <c r="F632" s="19"/>
    </row>
    <row r="633" ht="15.75" customHeight="1">
      <c r="A633" s="19"/>
      <c r="B633" s="19"/>
      <c r="C633" s="19"/>
      <c r="D633" s="19"/>
      <c r="E633" s="19"/>
      <c r="F633" s="19"/>
    </row>
    <row r="634" ht="15.75" customHeight="1">
      <c r="A634" s="19"/>
      <c r="B634" s="19"/>
      <c r="C634" s="19"/>
      <c r="D634" s="19"/>
      <c r="E634" s="19"/>
      <c r="F634" s="19"/>
    </row>
    <row r="635" ht="15.75" customHeight="1">
      <c r="A635" s="19"/>
      <c r="B635" s="19"/>
      <c r="C635" s="19"/>
      <c r="D635" s="19"/>
      <c r="E635" s="19"/>
      <c r="F635" s="19"/>
    </row>
    <row r="636" ht="15.75" customHeight="1">
      <c r="A636" s="19"/>
      <c r="B636" s="19"/>
      <c r="C636" s="19"/>
      <c r="D636" s="19"/>
      <c r="E636" s="19"/>
      <c r="F636" s="19"/>
    </row>
    <row r="637" ht="15.75" customHeight="1">
      <c r="A637" s="19"/>
      <c r="B637" s="19"/>
      <c r="C637" s="19"/>
      <c r="D637" s="19"/>
      <c r="E637" s="19"/>
      <c r="F637" s="19"/>
    </row>
    <row r="638" ht="15.75" customHeight="1">
      <c r="A638" s="19"/>
      <c r="B638" s="19"/>
      <c r="C638" s="19"/>
      <c r="D638" s="19"/>
      <c r="E638" s="19"/>
      <c r="F638" s="19"/>
    </row>
    <row r="639" ht="15.75" customHeight="1">
      <c r="A639" s="19"/>
      <c r="B639" s="19"/>
      <c r="C639" s="19"/>
      <c r="D639" s="19"/>
      <c r="E639" s="19"/>
      <c r="F639" s="19"/>
    </row>
    <row r="640" ht="15.75" customHeight="1">
      <c r="A640" s="19"/>
      <c r="B640" s="19"/>
      <c r="C640" s="19"/>
      <c r="D640" s="19"/>
      <c r="E640" s="19"/>
      <c r="F640" s="19"/>
    </row>
    <row r="641" ht="15.75" customHeight="1">
      <c r="A641" s="19"/>
      <c r="B641" s="19"/>
      <c r="C641" s="19"/>
      <c r="D641" s="19"/>
      <c r="E641" s="19"/>
      <c r="F641" s="19"/>
    </row>
    <row r="642" ht="15.75" customHeight="1">
      <c r="A642" s="19"/>
      <c r="B642" s="19"/>
      <c r="C642" s="19"/>
      <c r="D642" s="19"/>
      <c r="E642" s="19"/>
      <c r="F642" s="19"/>
    </row>
    <row r="643" ht="15.75" customHeight="1">
      <c r="A643" s="19"/>
      <c r="B643" s="19"/>
      <c r="C643" s="19"/>
      <c r="D643" s="19"/>
      <c r="E643" s="19"/>
      <c r="F643" s="19"/>
    </row>
    <row r="644" ht="15.75" customHeight="1">
      <c r="A644" s="19"/>
      <c r="B644" s="19"/>
      <c r="C644" s="19"/>
      <c r="D644" s="19"/>
      <c r="E644" s="19"/>
      <c r="F644" s="19"/>
    </row>
    <row r="645" ht="15.75" customHeight="1">
      <c r="A645" s="19"/>
      <c r="B645" s="19"/>
      <c r="C645" s="19"/>
      <c r="D645" s="19"/>
      <c r="E645" s="19"/>
      <c r="F645" s="19"/>
    </row>
    <row r="646" ht="15.75" customHeight="1">
      <c r="A646" s="19"/>
      <c r="B646" s="19"/>
      <c r="C646" s="19"/>
      <c r="D646" s="19"/>
      <c r="E646" s="19"/>
      <c r="F646" s="19"/>
    </row>
    <row r="647" ht="15.75" customHeight="1">
      <c r="A647" s="19"/>
      <c r="B647" s="19"/>
      <c r="C647" s="19"/>
      <c r="D647" s="19"/>
      <c r="E647" s="19"/>
      <c r="F647" s="19"/>
    </row>
    <row r="648" ht="15.75" customHeight="1">
      <c r="A648" s="19"/>
      <c r="B648" s="19"/>
      <c r="C648" s="19"/>
      <c r="D648" s="19"/>
      <c r="E648" s="19"/>
      <c r="F648" s="19"/>
    </row>
    <row r="649" ht="15.75" customHeight="1">
      <c r="A649" s="19"/>
      <c r="B649" s="19"/>
      <c r="C649" s="19"/>
      <c r="D649" s="19"/>
      <c r="E649" s="19"/>
      <c r="F649" s="19"/>
    </row>
    <row r="650" ht="15.75" customHeight="1">
      <c r="A650" s="19"/>
      <c r="B650" s="19"/>
      <c r="C650" s="19"/>
      <c r="D650" s="19"/>
      <c r="E650" s="19"/>
      <c r="F650" s="19"/>
    </row>
    <row r="651" ht="15.75" customHeight="1">
      <c r="A651" s="19"/>
      <c r="B651" s="19"/>
      <c r="C651" s="19"/>
      <c r="D651" s="19"/>
      <c r="E651" s="19"/>
      <c r="F651" s="19"/>
    </row>
    <row r="652" ht="15.75" customHeight="1">
      <c r="A652" s="19"/>
      <c r="B652" s="19"/>
      <c r="C652" s="19"/>
      <c r="D652" s="19"/>
      <c r="E652" s="19"/>
      <c r="F652" s="19"/>
    </row>
    <row r="653" ht="15.75" customHeight="1">
      <c r="A653" s="19"/>
      <c r="B653" s="19"/>
      <c r="C653" s="19"/>
      <c r="D653" s="19"/>
      <c r="E653" s="19"/>
      <c r="F653" s="19"/>
    </row>
    <row r="654" ht="15.75" customHeight="1">
      <c r="A654" s="19"/>
      <c r="B654" s="19"/>
      <c r="C654" s="19"/>
      <c r="D654" s="19"/>
      <c r="E654" s="19"/>
      <c r="F654" s="19"/>
    </row>
    <row r="655" ht="15.75" customHeight="1">
      <c r="A655" s="19"/>
      <c r="B655" s="19"/>
      <c r="C655" s="19"/>
      <c r="D655" s="19"/>
      <c r="E655" s="19"/>
      <c r="F655" s="19"/>
    </row>
    <row r="656" ht="15.75" customHeight="1">
      <c r="A656" s="19"/>
      <c r="B656" s="19"/>
      <c r="C656" s="19"/>
      <c r="D656" s="19"/>
      <c r="E656" s="19"/>
      <c r="F656" s="19"/>
    </row>
    <row r="657" ht="15.75" customHeight="1">
      <c r="A657" s="19"/>
      <c r="B657" s="19"/>
      <c r="C657" s="19"/>
      <c r="D657" s="19"/>
      <c r="E657" s="19"/>
      <c r="F657" s="19"/>
    </row>
    <row r="658" ht="15.75" customHeight="1">
      <c r="A658" s="19"/>
      <c r="B658" s="19"/>
      <c r="C658" s="19"/>
      <c r="D658" s="19"/>
      <c r="E658" s="19"/>
      <c r="F658" s="19"/>
    </row>
    <row r="659" ht="15.75" customHeight="1">
      <c r="A659" s="19"/>
      <c r="B659" s="19"/>
      <c r="C659" s="19"/>
      <c r="D659" s="19"/>
      <c r="E659" s="19"/>
      <c r="F659" s="19"/>
    </row>
    <row r="660" ht="15.75" customHeight="1">
      <c r="A660" s="19"/>
      <c r="B660" s="19"/>
      <c r="C660" s="19"/>
      <c r="D660" s="19"/>
      <c r="E660" s="19"/>
      <c r="F660" s="19"/>
    </row>
    <row r="661" ht="15.75" customHeight="1">
      <c r="A661" s="19"/>
      <c r="B661" s="19"/>
      <c r="C661" s="19"/>
      <c r="D661" s="19"/>
      <c r="E661" s="19"/>
      <c r="F661" s="19"/>
    </row>
    <row r="662" ht="15.75" customHeight="1">
      <c r="A662" s="19"/>
      <c r="B662" s="19"/>
      <c r="C662" s="19"/>
      <c r="D662" s="19"/>
      <c r="E662" s="19"/>
      <c r="F662" s="19"/>
    </row>
    <row r="663" ht="15.75" customHeight="1">
      <c r="A663" s="19"/>
      <c r="B663" s="19"/>
      <c r="C663" s="19"/>
      <c r="D663" s="19"/>
      <c r="E663" s="19"/>
      <c r="F663" s="19"/>
    </row>
    <row r="664" ht="15.75" customHeight="1">
      <c r="A664" s="19"/>
      <c r="B664" s="19"/>
      <c r="C664" s="19"/>
      <c r="D664" s="19"/>
      <c r="E664" s="19"/>
      <c r="F664" s="19"/>
    </row>
    <row r="665" ht="15.75" customHeight="1">
      <c r="A665" s="19"/>
      <c r="B665" s="19"/>
      <c r="C665" s="19"/>
      <c r="D665" s="19"/>
      <c r="E665" s="19"/>
      <c r="F665" s="19"/>
    </row>
    <row r="666" ht="15.75" customHeight="1">
      <c r="A666" s="19"/>
      <c r="B666" s="19"/>
      <c r="C666" s="19"/>
      <c r="D666" s="19"/>
      <c r="E666" s="19"/>
      <c r="F666" s="19"/>
    </row>
    <row r="667" ht="15.75" customHeight="1">
      <c r="A667" s="19"/>
      <c r="B667" s="19"/>
      <c r="C667" s="19"/>
      <c r="D667" s="19"/>
      <c r="E667" s="19"/>
      <c r="F667" s="19"/>
    </row>
    <row r="668" ht="15.75" customHeight="1">
      <c r="A668" s="19"/>
      <c r="B668" s="19"/>
      <c r="C668" s="19"/>
      <c r="D668" s="19"/>
      <c r="E668" s="19"/>
      <c r="F668" s="19"/>
    </row>
    <row r="669" ht="15.75" customHeight="1">
      <c r="A669" s="19"/>
      <c r="B669" s="19"/>
      <c r="C669" s="19"/>
      <c r="D669" s="19"/>
      <c r="E669" s="19"/>
      <c r="F669" s="19"/>
    </row>
    <row r="670" ht="15.75" customHeight="1">
      <c r="A670" s="19"/>
      <c r="B670" s="19"/>
      <c r="C670" s="19"/>
      <c r="D670" s="19"/>
      <c r="E670" s="19"/>
      <c r="F670" s="19"/>
    </row>
    <row r="671" ht="15.75" customHeight="1">
      <c r="A671" s="19"/>
      <c r="B671" s="19"/>
      <c r="C671" s="19"/>
      <c r="D671" s="19"/>
      <c r="E671" s="19"/>
      <c r="F671" s="19"/>
    </row>
    <row r="672" ht="15.75" customHeight="1">
      <c r="A672" s="19"/>
      <c r="B672" s="19"/>
      <c r="C672" s="19"/>
      <c r="D672" s="19"/>
      <c r="E672" s="19"/>
      <c r="F672" s="19"/>
    </row>
    <row r="673" ht="15.75" customHeight="1">
      <c r="A673" s="19"/>
      <c r="B673" s="19"/>
      <c r="C673" s="19"/>
      <c r="D673" s="19"/>
      <c r="E673" s="19"/>
      <c r="F673" s="19"/>
    </row>
    <row r="674" ht="15.75" customHeight="1">
      <c r="A674" s="19"/>
      <c r="B674" s="19"/>
      <c r="C674" s="19"/>
      <c r="D674" s="19"/>
      <c r="E674" s="19"/>
      <c r="F674" s="19"/>
    </row>
    <row r="675" ht="15.75" customHeight="1">
      <c r="A675" s="19"/>
      <c r="B675" s="19"/>
      <c r="C675" s="19"/>
      <c r="D675" s="19"/>
      <c r="E675" s="19"/>
      <c r="F675" s="19"/>
    </row>
    <row r="676" ht="15.75" customHeight="1">
      <c r="A676" s="19"/>
      <c r="B676" s="19"/>
      <c r="C676" s="19"/>
      <c r="D676" s="19"/>
      <c r="E676" s="19"/>
      <c r="F676" s="19"/>
    </row>
    <row r="677" ht="15.75" customHeight="1">
      <c r="A677" s="19"/>
      <c r="B677" s="19"/>
      <c r="C677" s="19"/>
      <c r="D677" s="19"/>
      <c r="E677" s="19"/>
      <c r="F677" s="19"/>
    </row>
    <row r="678" ht="15.75" customHeight="1">
      <c r="A678" s="19"/>
      <c r="B678" s="19"/>
      <c r="C678" s="19"/>
      <c r="D678" s="19"/>
      <c r="E678" s="19"/>
      <c r="F678" s="19"/>
    </row>
    <row r="679" ht="15.75" customHeight="1">
      <c r="A679" s="19"/>
      <c r="B679" s="19"/>
      <c r="C679" s="19"/>
      <c r="D679" s="19"/>
      <c r="E679" s="19"/>
      <c r="F679" s="19"/>
    </row>
    <row r="680" ht="15.75" customHeight="1">
      <c r="A680" s="19"/>
      <c r="B680" s="19"/>
      <c r="C680" s="19"/>
      <c r="D680" s="19"/>
      <c r="E680" s="19"/>
      <c r="F680" s="19"/>
    </row>
    <row r="681" ht="15.75" customHeight="1">
      <c r="A681" s="19"/>
      <c r="B681" s="19"/>
      <c r="C681" s="19"/>
      <c r="D681" s="19"/>
      <c r="E681" s="19"/>
      <c r="F681" s="19"/>
    </row>
    <row r="682" ht="15.75" customHeight="1">
      <c r="A682" s="19"/>
      <c r="B682" s="19"/>
      <c r="C682" s="19"/>
      <c r="D682" s="19"/>
      <c r="E682" s="19"/>
      <c r="F682" s="19"/>
    </row>
    <row r="683" ht="15.75" customHeight="1">
      <c r="A683" s="19"/>
      <c r="B683" s="19"/>
      <c r="C683" s="19"/>
      <c r="D683" s="19"/>
      <c r="E683" s="19"/>
      <c r="F683" s="19"/>
    </row>
    <row r="684" ht="15.75" customHeight="1">
      <c r="A684" s="19"/>
      <c r="B684" s="19"/>
      <c r="C684" s="19"/>
      <c r="D684" s="19"/>
      <c r="E684" s="19"/>
      <c r="F684" s="19"/>
    </row>
    <row r="685" ht="15.75" customHeight="1">
      <c r="A685" s="19"/>
      <c r="B685" s="19"/>
      <c r="C685" s="19"/>
      <c r="D685" s="19"/>
      <c r="E685" s="19"/>
      <c r="F685" s="19"/>
    </row>
    <row r="686" ht="15.75" customHeight="1">
      <c r="A686" s="19"/>
      <c r="B686" s="19"/>
      <c r="C686" s="19"/>
      <c r="D686" s="19"/>
      <c r="E686" s="19"/>
      <c r="F686" s="19"/>
    </row>
    <row r="687" ht="15.75" customHeight="1">
      <c r="A687" s="19"/>
      <c r="B687" s="19"/>
      <c r="C687" s="19"/>
      <c r="D687" s="19"/>
      <c r="E687" s="19"/>
      <c r="F687" s="19"/>
    </row>
    <row r="688" ht="15.75" customHeight="1">
      <c r="A688" s="19"/>
      <c r="B688" s="19"/>
      <c r="C688" s="19"/>
      <c r="D688" s="19"/>
      <c r="E688" s="19"/>
      <c r="F688" s="19"/>
    </row>
    <row r="689" ht="15.75" customHeight="1">
      <c r="A689" s="19"/>
      <c r="B689" s="19"/>
      <c r="C689" s="19"/>
      <c r="D689" s="19"/>
      <c r="E689" s="19"/>
      <c r="F689" s="19"/>
    </row>
    <row r="690" ht="15.75" customHeight="1">
      <c r="A690" s="19"/>
      <c r="B690" s="19"/>
      <c r="C690" s="19"/>
      <c r="D690" s="19"/>
      <c r="E690" s="19"/>
      <c r="F690" s="19"/>
    </row>
    <row r="691" ht="15.75" customHeight="1">
      <c r="A691" s="19"/>
      <c r="B691" s="19"/>
      <c r="C691" s="19"/>
      <c r="D691" s="19"/>
      <c r="E691" s="19"/>
      <c r="F691" s="19"/>
    </row>
    <row r="692" ht="15.75" customHeight="1">
      <c r="A692" s="19"/>
      <c r="B692" s="19"/>
      <c r="C692" s="19"/>
      <c r="D692" s="19"/>
      <c r="E692" s="19"/>
      <c r="F692" s="19"/>
    </row>
    <row r="693" ht="15.75" customHeight="1">
      <c r="A693" s="19"/>
      <c r="B693" s="19"/>
      <c r="C693" s="19"/>
      <c r="D693" s="19"/>
      <c r="E693" s="19"/>
      <c r="F693" s="19"/>
    </row>
    <row r="694" ht="15.75" customHeight="1">
      <c r="A694" s="19"/>
      <c r="B694" s="19"/>
      <c r="C694" s="19"/>
      <c r="D694" s="19"/>
      <c r="E694" s="19"/>
      <c r="F694" s="19"/>
    </row>
    <row r="695" ht="15.75" customHeight="1">
      <c r="A695" s="19"/>
      <c r="B695" s="19"/>
      <c r="C695" s="19"/>
      <c r="D695" s="19"/>
      <c r="E695" s="19"/>
      <c r="F695" s="19"/>
    </row>
    <row r="696" ht="15.75" customHeight="1">
      <c r="A696" s="19"/>
      <c r="B696" s="19"/>
      <c r="C696" s="19"/>
      <c r="D696" s="19"/>
      <c r="E696" s="19"/>
      <c r="F696" s="19"/>
    </row>
    <row r="697" ht="15.75" customHeight="1">
      <c r="A697" s="19"/>
      <c r="B697" s="19"/>
      <c r="C697" s="19"/>
      <c r="D697" s="19"/>
      <c r="E697" s="19"/>
      <c r="F697" s="19"/>
    </row>
    <row r="698" ht="15.75" customHeight="1">
      <c r="A698" s="19"/>
      <c r="B698" s="19"/>
      <c r="C698" s="19"/>
      <c r="D698" s="19"/>
      <c r="E698" s="19"/>
      <c r="F698" s="19"/>
    </row>
    <row r="699" ht="15.75" customHeight="1">
      <c r="A699" s="19"/>
      <c r="B699" s="19"/>
      <c r="C699" s="19"/>
      <c r="D699" s="19"/>
      <c r="E699" s="19"/>
      <c r="F699" s="19"/>
    </row>
    <row r="700" ht="15.75" customHeight="1">
      <c r="A700" s="19"/>
      <c r="B700" s="19"/>
      <c r="C700" s="19"/>
      <c r="D700" s="19"/>
      <c r="E700" s="19"/>
      <c r="F700" s="19"/>
    </row>
    <row r="701" ht="15.75" customHeight="1">
      <c r="A701" s="19"/>
      <c r="B701" s="19"/>
      <c r="C701" s="19"/>
      <c r="D701" s="19"/>
      <c r="E701" s="19"/>
      <c r="F701" s="19"/>
    </row>
    <row r="702" ht="15.75" customHeight="1">
      <c r="A702" s="19"/>
      <c r="B702" s="19"/>
      <c r="C702" s="19"/>
      <c r="D702" s="19"/>
      <c r="E702" s="19"/>
      <c r="F702" s="19"/>
    </row>
    <row r="703" ht="15.75" customHeight="1">
      <c r="A703" s="19"/>
      <c r="B703" s="19"/>
      <c r="C703" s="19"/>
      <c r="D703" s="19"/>
      <c r="E703" s="19"/>
      <c r="F703" s="19"/>
    </row>
    <row r="704" ht="15.75" customHeight="1">
      <c r="A704" s="19"/>
      <c r="B704" s="19"/>
      <c r="C704" s="19"/>
      <c r="D704" s="19"/>
      <c r="E704" s="19"/>
      <c r="F704" s="19"/>
    </row>
    <row r="705" ht="15.75" customHeight="1">
      <c r="A705" s="19"/>
      <c r="B705" s="19"/>
      <c r="C705" s="19"/>
      <c r="D705" s="19"/>
      <c r="E705" s="19"/>
      <c r="F705" s="19"/>
    </row>
    <row r="706" ht="15.75" customHeight="1">
      <c r="A706" s="19"/>
      <c r="B706" s="19"/>
      <c r="C706" s="19"/>
      <c r="D706" s="19"/>
      <c r="E706" s="19"/>
      <c r="F706" s="19"/>
    </row>
    <row r="707" ht="15.75" customHeight="1">
      <c r="A707" s="19"/>
      <c r="B707" s="19"/>
      <c r="C707" s="19"/>
      <c r="D707" s="19"/>
      <c r="E707" s="19"/>
      <c r="F707" s="19"/>
    </row>
    <row r="708" ht="15.75" customHeight="1">
      <c r="A708" s="19"/>
      <c r="B708" s="19"/>
      <c r="C708" s="19"/>
      <c r="D708" s="19"/>
      <c r="E708" s="19"/>
      <c r="F708" s="19"/>
    </row>
    <row r="709" ht="15.75" customHeight="1">
      <c r="A709" s="19"/>
      <c r="B709" s="19"/>
      <c r="C709" s="19"/>
      <c r="D709" s="19"/>
      <c r="E709" s="19"/>
      <c r="F709" s="19"/>
    </row>
    <row r="710" ht="15.75" customHeight="1">
      <c r="A710" s="19"/>
      <c r="B710" s="19"/>
      <c r="C710" s="19"/>
      <c r="D710" s="19"/>
      <c r="E710" s="19"/>
      <c r="F710" s="19"/>
    </row>
    <row r="711" ht="15.75" customHeight="1">
      <c r="A711" s="19"/>
      <c r="B711" s="19"/>
      <c r="C711" s="19"/>
      <c r="D711" s="19"/>
      <c r="E711" s="19"/>
      <c r="F711" s="19"/>
    </row>
    <row r="712" ht="15.75" customHeight="1">
      <c r="A712" s="19"/>
      <c r="B712" s="19"/>
      <c r="C712" s="19"/>
      <c r="D712" s="19"/>
      <c r="E712" s="19"/>
      <c r="F712" s="19"/>
    </row>
    <row r="713" ht="15.75" customHeight="1">
      <c r="A713" s="19"/>
      <c r="B713" s="19"/>
      <c r="C713" s="19"/>
      <c r="D713" s="19"/>
      <c r="E713" s="19"/>
      <c r="F713" s="19"/>
    </row>
    <row r="714" ht="15.75" customHeight="1">
      <c r="A714" s="19"/>
      <c r="B714" s="19"/>
      <c r="C714" s="19"/>
      <c r="D714" s="19"/>
      <c r="E714" s="19"/>
      <c r="F714" s="19"/>
    </row>
    <row r="715" ht="15.75" customHeight="1">
      <c r="A715" s="19"/>
      <c r="B715" s="19"/>
      <c r="C715" s="19"/>
      <c r="D715" s="19"/>
      <c r="E715" s="19"/>
      <c r="F715" s="19"/>
    </row>
    <row r="716" ht="15.75" customHeight="1">
      <c r="A716" s="19"/>
      <c r="B716" s="19"/>
      <c r="C716" s="19"/>
      <c r="D716" s="19"/>
      <c r="E716" s="19"/>
      <c r="F716" s="19"/>
    </row>
    <row r="717" ht="15.75" customHeight="1">
      <c r="A717" s="19"/>
      <c r="B717" s="19"/>
      <c r="C717" s="19"/>
      <c r="D717" s="19"/>
      <c r="E717" s="19"/>
      <c r="F717" s="19"/>
    </row>
    <row r="718" ht="15.75" customHeight="1">
      <c r="A718" s="19"/>
      <c r="B718" s="19"/>
      <c r="C718" s="19"/>
      <c r="D718" s="19"/>
      <c r="E718" s="19"/>
      <c r="F718" s="19"/>
    </row>
    <row r="719" ht="15.75" customHeight="1">
      <c r="A719" s="19"/>
      <c r="B719" s="19"/>
      <c r="C719" s="19"/>
      <c r="D719" s="19"/>
      <c r="E719" s="19"/>
      <c r="F719" s="19"/>
    </row>
    <row r="720" ht="15.75" customHeight="1">
      <c r="A720" s="19"/>
      <c r="B720" s="19"/>
      <c r="C720" s="19"/>
      <c r="D720" s="19"/>
      <c r="E720" s="19"/>
      <c r="F720" s="19"/>
    </row>
    <row r="721" ht="15.75" customHeight="1">
      <c r="A721" s="19"/>
      <c r="B721" s="19"/>
      <c r="C721" s="19"/>
      <c r="D721" s="19"/>
      <c r="E721" s="19"/>
      <c r="F721" s="19"/>
    </row>
    <row r="722" ht="15.75" customHeight="1">
      <c r="A722" s="19"/>
      <c r="B722" s="19"/>
      <c r="C722" s="19"/>
      <c r="D722" s="19"/>
      <c r="E722" s="19"/>
      <c r="F722" s="19"/>
    </row>
    <row r="723" ht="15.75" customHeight="1">
      <c r="A723" s="19"/>
      <c r="B723" s="19"/>
      <c r="C723" s="19"/>
      <c r="D723" s="19"/>
      <c r="E723" s="19"/>
      <c r="F723" s="19"/>
    </row>
    <row r="724" ht="15.75" customHeight="1">
      <c r="A724" s="19"/>
      <c r="B724" s="19"/>
      <c r="C724" s="19"/>
      <c r="D724" s="19"/>
      <c r="E724" s="19"/>
      <c r="F724" s="19"/>
    </row>
    <row r="725" ht="15.75" customHeight="1">
      <c r="A725" s="19"/>
      <c r="B725" s="19"/>
      <c r="C725" s="19"/>
      <c r="D725" s="19"/>
      <c r="E725" s="19"/>
      <c r="F725" s="19"/>
    </row>
    <row r="726" ht="15.75" customHeight="1">
      <c r="A726" s="19"/>
      <c r="B726" s="19"/>
      <c r="C726" s="19"/>
      <c r="D726" s="19"/>
      <c r="E726" s="19"/>
      <c r="F726" s="19"/>
    </row>
    <row r="727" ht="15.75" customHeight="1">
      <c r="A727" s="19"/>
      <c r="B727" s="19"/>
      <c r="C727" s="19"/>
      <c r="D727" s="19"/>
      <c r="E727" s="19"/>
      <c r="F727" s="19"/>
    </row>
    <row r="728" ht="15.75" customHeight="1">
      <c r="A728" s="19"/>
      <c r="B728" s="19"/>
      <c r="C728" s="19"/>
      <c r="D728" s="19"/>
      <c r="E728" s="19"/>
      <c r="F728" s="19"/>
    </row>
    <row r="729" ht="15.75" customHeight="1">
      <c r="A729" s="19"/>
      <c r="B729" s="19"/>
      <c r="C729" s="19"/>
      <c r="D729" s="19"/>
      <c r="E729" s="19"/>
      <c r="F729" s="19"/>
    </row>
    <row r="730" ht="15.75" customHeight="1">
      <c r="A730" s="19"/>
      <c r="B730" s="19"/>
      <c r="C730" s="19"/>
      <c r="D730" s="19"/>
      <c r="E730" s="19"/>
      <c r="F730" s="19"/>
    </row>
    <row r="731" ht="15.75" customHeight="1">
      <c r="A731" s="19"/>
      <c r="B731" s="19"/>
      <c r="C731" s="19"/>
      <c r="D731" s="19"/>
      <c r="E731" s="19"/>
      <c r="F731" s="19"/>
    </row>
    <row r="732" ht="15.75" customHeight="1">
      <c r="A732" s="19"/>
      <c r="B732" s="19"/>
      <c r="C732" s="19"/>
      <c r="D732" s="19"/>
      <c r="E732" s="19"/>
      <c r="F732" s="19"/>
    </row>
    <row r="733" ht="15.75" customHeight="1">
      <c r="A733" s="19"/>
      <c r="B733" s="19"/>
      <c r="C733" s="19"/>
      <c r="D733" s="19"/>
      <c r="E733" s="19"/>
      <c r="F733" s="19"/>
    </row>
    <row r="734" ht="15.75" customHeight="1">
      <c r="A734" s="19"/>
      <c r="B734" s="19"/>
      <c r="C734" s="19"/>
      <c r="D734" s="19"/>
      <c r="E734" s="19"/>
      <c r="F734" s="19"/>
    </row>
    <row r="735" ht="15.75" customHeight="1">
      <c r="A735" s="19"/>
      <c r="B735" s="19"/>
      <c r="C735" s="19"/>
      <c r="D735" s="19"/>
      <c r="E735" s="19"/>
      <c r="F735" s="19"/>
    </row>
    <row r="736" ht="15.75" customHeight="1">
      <c r="A736" s="19"/>
      <c r="B736" s="19"/>
      <c r="C736" s="19"/>
      <c r="D736" s="19"/>
      <c r="E736" s="19"/>
      <c r="F736" s="19"/>
    </row>
    <row r="737" ht="15.75" customHeight="1">
      <c r="A737" s="19"/>
      <c r="B737" s="19"/>
      <c r="C737" s="19"/>
      <c r="D737" s="19"/>
      <c r="E737" s="19"/>
      <c r="F737" s="19"/>
    </row>
    <row r="738" ht="15.75" customHeight="1">
      <c r="A738" s="19"/>
      <c r="B738" s="19"/>
      <c r="C738" s="19"/>
      <c r="D738" s="19"/>
      <c r="E738" s="19"/>
      <c r="F738" s="19"/>
    </row>
    <row r="739" ht="15.75" customHeight="1">
      <c r="A739" s="19"/>
      <c r="B739" s="19"/>
      <c r="C739" s="19"/>
      <c r="D739" s="19"/>
      <c r="E739" s="19"/>
      <c r="F739" s="19"/>
    </row>
    <row r="740" ht="15.75" customHeight="1">
      <c r="A740" s="19"/>
      <c r="B740" s="19"/>
      <c r="C740" s="19"/>
      <c r="D740" s="19"/>
      <c r="E740" s="19"/>
      <c r="F740" s="19"/>
    </row>
    <row r="741" ht="15.75" customHeight="1">
      <c r="A741" s="19"/>
      <c r="B741" s="19"/>
      <c r="C741" s="19"/>
      <c r="D741" s="19"/>
      <c r="E741" s="19"/>
      <c r="F741" s="19"/>
    </row>
    <row r="742" ht="15.75" customHeight="1">
      <c r="A742" s="19"/>
      <c r="B742" s="19"/>
      <c r="C742" s="19"/>
      <c r="D742" s="19"/>
      <c r="E742" s="19"/>
      <c r="F742" s="19"/>
    </row>
    <row r="743" ht="15.75" customHeight="1">
      <c r="A743" s="19"/>
      <c r="B743" s="19"/>
      <c r="C743" s="19"/>
      <c r="D743" s="19"/>
      <c r="E743" s="19"/>
      <c r="F743" s="19"/>
    </row>
    <row r="744" ht="15.75" customHeight="1">
      <c r="A744" s="19"/>
      <c r="B744" s="19"/>
      <c r="C744" s="19"/>
      <c r="D744" s="19"/>
      <c r="E744" s="19"/>
      <c r="F744" s="19"/>
    </row>
    <row r="745" ht="15.75" customHeight="1">
      <c r="A745" s="19"/>
      <c r="B745" s="19"/>
      <c r="C745" s="19"/>
      <c r="D745" s="19"/>
      <c r="E745" s="19"/>
      <c r="F745" s="19"/>
    </row>
    <row r="746" ht="15.75" customHeight="1">
      <c r="A746" s="19"/>
      <c r="B746" s="19"/>
      <c r="C746" s="19"/>
      <c r="D746" s="19"/>
      <c r="E746" s="19"/>
      <c r="F746" s="19"/>
    </row>
    <row r="747" ht="15.75" customHeight="1">
      <c r="A747" s="19"/>
      <c r="B747" s="19"/>
      <c r="C747" s="19"/>
      <c r="D747" s="19"/>
      <c r="E747" s="19"/>
      <c r="F747" s="19"/>
    </row>
    <row r="748" ht="15.75" customHeight="1">
      <c r="A748" s="19"/>
      <c r="B748" s="19"/>
      <c r="C748" s="19"/>
      <c r="D748" s="19"/>
      <c r="E748" s="19"/>
      <c r="F748" s="19"/>
    </row>
    <row r="749" ht="15.75" customHeight="1">
      <c r="A749" s="19"/>
      <c r="B749" s="19"/>
      <c r="C749" s="19"/>
      <c r="D749" s="19"/>
      <c r="E749" s="19"/>
      <c r="F749" s="19"/>
    </row>
    <row r="750" ht="15.75" customHeight="1">
      <c r="A750" s="19"/>
      <c r="B750" s="19"/>
      <c r="C750" s="19"/>
      <c r="D750" s="19"/>
      <c r="E750" s="19"/>
      <c r="F750" s="19"/>
    </row>
    <row r="751" ht="15.75" customHeight="1">
      <c r="A751" s="19"/>
      <c r="B751" s="19"/>
      <c r="C751" s="19"/>
      <c r="D751" s="19"/>
      <c r="E751" s="19"/>
      <c r="F751" s="19"/>
    </row>
    <row r="752" ht="15.75" customHeight="1">
      <c r="A752" s="19"/>
      <c r="B752" s="19"/>
      <c r="C752" s="19"/>
      <c r="D752" s="19"/>
      <c r="E752" s="19"/>
      <c r="F752" s="19"/>
    </row>
    <row r="753" ht="15.75" customHeight="1">
      <c r="A753" s="19"/>
      <c r="B753" s="19"/>
      <c r="C753" s="19"/>
      <c r="D753" s="19"/>
      <c r="E753" s="19"/>
      <c r="F753" s="19"/>
    </row>
    <row r="754" ht="15.75" customHeight="1">
      <c r="A754" s="19"/>
      <c r="B754" s="19"/>
      <c r="C754" s="19"/>
      <c r="D754" s="19"/>
      <c r="E754" s="19"/>
      <c r="F754" s="19"/>
    </row>
    <row r="755" ht="15.75" customHeight="1">
      <c r="A755" s="19"/>
      <c r="B755" s="19"/>
      <c r="C755" s="19"/>
      <c r="D755" s="19"/>
      <c r="E755" s="19"/>
      <c r="F755" s="19"/>
    </row>
    <row r="756" ht="15.75" customHeight="1">
      <c r="A756" s="19"/>
      <c r="B756" s="19"/>
      <c r="C756" s="19"/>
      <c r="D756" s="19"/>
      <c r="E756" s="19"/>
      <c r="F756" s="19"/>
    </row>
    <row r="757" ht="15.75" customHeight="1">
      <c r="A757" s="19"/>
      <c r="B757" s="19"/>
      <c r="C757" s="19"/>
      <c r="D757" s="19"/>
      <c r="E757" s="19"/>
      <c r="F757" s="19"/>
    </row>
    <row r="758" ht="15.75" customHeight="1">
      <c r="A758" s="19"/>
      <c r="B758" s="19"/>
      <c r="C758" s="19"/>
      <c r="D758" s="19"/>
      <c r="E758" s="19"/>
      <c r="F758" s="19"/>
    </row>
    <row r="759" ht="15.75" customHeight="1">
      <c r="A759" s="19"/>
      <c r="B759" s="19"/>
      <c r="C759" s="19"/>
      <c r="D759" s="19"/>
      <c r="E759" s="19"/>
      <c r="F759" s="19"/>
    </row>
    <row r="760" ht="15.75" customHeight="1">
      <c r="A760" s="19"/>
      <c r="B760" s="19"/>
      <c r="C760" s="19"/>
      <c r="D760" s="19"/>
      <c r="E760" s="19"/>
      <c r="F760" s="19"/>
    </row>
    <row r="761" ht="15.75" customHeight="1">
      <c r="A761" s="19"/>
      <c r="B761" s="19"/>
      <c r="C761" s="19"/>
      <c r="D761" s="19"/>
      <c r="E761" s="19"/>
      <c r="F761" s="19"/>
    </row>
    <row r="762" ht="15.75" customHeight="1">
      <c r="A762" s="19"/>
      <c r="B762" s="19"/>
      <c r="C762" s="19"/>
      <c r="D762" s="19"/>
      <c r="E762" s="19"/>
      <c r="F762" s="19"/>
    </row>
    <row r="763" ht="15.75" customHeight="1">
      <c r="A763" s="19"/>
      <c r="B763" s="19"/>
      <c r="C763" s="19"/>
      <c r="D763" s="19"/>
      <c r="E763" s="19"/>
      <c r="F763" s="19"/>
    </row>
    <row r="764" ht="15.75" customHeight="1">
      <c r="A764" s="19"/>
      <c r="B764" s="19"/>
      <c r="C764" s="19"/>
      <c r="D764" s="19"/>
      <c r="E764" s="19"/>
      <c r="F764" s="19"/>
    </row>
    <row r="765" ht="15.75" customHeight="1">
      <c r="A765" s="19"/>
      <c r="B765" s="19"/>
      <c r="C765" s="19"/>
      <c r="D765" s="19"/>
      <c r="E765" s="19"/>
      <c r="F765" s="19"/>
    </row>
    <row r="766" ht="15.75" customHeight="1">
      <c r="A766" s="19"/>
      <c r="B766" s="19"/>
      <c r="C766" s="19"/>
      <c r="D766" s="19"/>
      <c r="E766" s="19"/>
      <c r="F766" s="19"/>
    </row>
    <row r="767" ht="15.75" customHeight="1">
      <c r="A767" s="19"/>
      <c r="B767" s="19"/>
      <c r="C767" s="19"/>
      <c r="D767" s="19"/>
      <c r="E767" s="19"/>
      <c r="F767" s="19"/>
    </row>
    <row r="768" ht="15.75" customHeight="1">
      <c r="A768" s="19"/>
      <c r="B768" s="19"/>
      <c r="C768" s="19"/>
      <c r="D768" s="19"/>
      <c r="E768" s="19"/>
      <c r="F768" s="19"/>
    </row>
    <row r="769" ht="15.75" customHeight="1">
      <c r="A769" s="19"/>
      <c r="B769" s="19"/>
      <c r="C769" s="19"/>
      <c r="D769" s="19"/>
      <c r="E769" s="19"/>
      <c r="F769" s="19"/>
    </row>
    <row r="770" ht="15.75" customHeight="1">
      <c r="A770" s="19"/>
      <c r="B770" s="19"/>
      <c r="C770" s="19"/>
      <c r="D770" s="19"/>
      <c r="E770" s="19"/>
      <c r="F770" s="19"/>
    </row>
    <row r="771" ht="15.75" customHeight="1">
      <c r="A771" s="19"/>
      <c r="B771" s="19"/>
      <c r="C771" s="19"/>
      <c r="D771" s="19"/>
      <c r="E771" s="19"/>
      <c r="F771" s="19"/>
    </row>
    <row r="772" ht="15.75" customHeight="1">
      <c r="A772" s="19"/>
      <c r="B772" s="19"/>
      <c r="C772" s="19"/>
      <c r="D772" s="19"/>
      <c r="E772" s="19"/>
      <c r="F772" s="19"/>
    </row>
    <row r="773" ht="15.75" customHeight="1">
      <c r="A773" s="19"/>
      <c r="B773" s="19"/>
      <c r="C773" s="19"/>
      <c r="D773" s="19"/>
      <c r="E773" s="19"/>
      <c r="F773" s="19"/>
    </row>
    <row r="774" ht="15.75" customHeight="1">
      <c r="A774" s="19"/>
      <c r="B774" s="19"/>
      <c r="C774" s="19"/>
      <c r="D774" s="19"/>
      <c r="E774" s="19"/>
      <c r="F774" s="19"/>
    </row>
    <row r="775" ht="15.75" customHeight="1">
      <c r="A775" s="19"/>
      <c r="B775" s="19"/>
      <c r="C775" s="19"/>
      <c r="D775" s="19"/>
      <c r="E775" s="19"/>
      <c r="F775" s="19"/>
    </row>
    <row r="776" ht="15.75" customHeight="1">
      <c r="A776" s="19"/>
      <c r="B776" s="19"/>
      <c r="C776" s="19"/>
      <c r="D776" s="19"/>
      <c r="E776" s="19"/>
      <c r="F776" s="19"/>
    </row>
    <row r="777" ht="15.75" customHeight="1">
      <c r="A777" s="19"/>
      <c r="B777" s="19"/>
      <c r="C777" s="19"/>
      <c r="D777" s="19"/>
      <c r="E777" s="19"/>
      <c r="F777" s="19"/>
    </row>
    <row r="778" ht="15.75" customHeight="1">
      <c r="A778" s="19"/>
      <c r="B778" s="19"/>
      <c r="C778" s="19"/>
      <c r="D778" s="19"/>
      <c r="E778" s="19"/>
      <c r="F778" s="19"/>
    </row>
    <row r="779" ht="15.75" customHeight="1">
      <c r="A779" s="19"/>
      <c r="B779" s="19"/>
      <c r="C779" s="19"/>
      <c r="D779" s="19"/>
      <c r="E779" s="19"/>
      <c r="F779" s="19"/>
    </row>
    <row r="780" ht="15.75" customHeight="1">
      <c r="A780" s="19"/>
      <c r="B780" s="19"/>
      <c r="C780" s="19"/>
      <c r="D780" s="19"/>
      <c r="E780" s="19"/>
      <c r="F780" s="19"/>
    </row>
    <row r="781" ht="15.75" customHeight="1">
      <c r="A781" s="19"/>
      <c r="B781" s="19"/>
      <c r="C781" s="19"/>
      <c r="D781" s="19"/>
      <c r="E781" s="19"/>
      <c r="F781" s="19"/>
    </row>
    <row r="782" ht="15.75" customHeight="1">
      <c r="A782" s="19"/>
      <c r="B782" s="19"/>
      <c r="C782" s="19"/>
      <c r="D782" s="19"/>
      <c r="E782" s="19"/>
      <c r="F782" s="19"/>
    </row>
    <row r="783" ht="15.75" customHeight="1">
      <c r="A783" s="19"/>
      <c r="B783" s="19"/>
      <c r="C783" s="19"/>
      <c r="D783" s="19"/>
      <c r="E783" s="19"/>
      <c r="F783" s="19"/>
    </row>
    <row r="784" ht="15.75" customHeight="1">
      <c r="A784" s="19"/>
      <c r="B784" s="19"/>
      <c r="C784" s="19"/>
      <c r="D784" s="19"/>
      <c r="E784" s="19"/>
      <c r="F784" s="19"/>
    </row>
    <row r="785" ht="15.75" customHeight="1">
      <c r="A785" s="19"/>
      <c r="B785" s="19"/>
      <c r="C785" s="19"/>
      <c r="D785" s="19"/>
      <c r="E785" s="19"/>
      <c r="F785" s="19"/>
    </row>
    <row r="786" ht="15.75" customHeight="1">
      <c r="A786" s="19"/>
      <c r="B786" s="19"/>
      <c r="C786" s="19"/>
      <c r="D786" s="19"/>
      <c r="E786" s="19"/>
      <c r="F786" s="19"/>
    </row>
    <row r="787" ht="15.75" customHeight="1">
      <c r="A787" s="19"/>
      <c r="B787" s="19"/>
      <c r="C787" s="19"/>
      <c r="D787" s="19"/>
      <c r="E787" s="19"/>
      <c r="F787" s="19"/>
    </row>
    <row r="788" ht="15.75" customHeight="1">
      <c r="A788" s="19"/>
      <c r="B788" s="19"/>
      <c r="C788" s="19"/>
      <c r="D788" s="19"/>
      <c r="E788" s="19"/>
      <c r="F788" s="19"/>
    </row>
    <row r="789" ht="15.75" customHeight="1">
      <c r="A789" s="19"/>
      <c r="B789" s="19"/>
      <c r="C789" s="19"/>
      <c r="D789" s="19"/>
      <c r="E789" s="19"/>
      <c r="F789" s="19"/>
    </row>
    <row r="790" ht="15.75" customHeight="1">
      <c r="A790" s="19"/>
      <c r="B790" s="19"/>
      <c r="C790" s="19"/>
      <c r="D790" s="19"/>
      <c r="E790" s="19"/>
      <c r="F790" s="19"/>
    </row>
    <row r="791" ht="15.75" customHeight="1">
      <c r="A791" s="19"/>
      <c r="B791" s="19"/>
      <c r="C791" s="19"/>
      <c r="D791" s="19"/>
      <c r="E791" s="19"/>
      <c r="F791" s="19"/>
    </row>
    <row r="792" ht="15.75" customHeight="1">
      <c r="A792" s="19"/>
      <c r="B792" s="19"/>
      <c r="C792" s="19"/>
      <c r="D792" s="19"/>
      <c r="E792" s="19"/>
      <c r="F792" s="19"/>
    </row>
    <row r="793" ht="15.75" customHeight="1">
      <c r="A793" s="19"/>
      <c r="B793" s="19"/>
      <c r="C793" s="19"/>
      <c r="D793" s="19"/>
      <c r="E793" s="19"/>
      <c r="F793" s="19"/>
    </row>
    <row r="794" ht="15.75" customHeight="1">
      <c r="A794" s="19"/>
      <c r="B794" s="19"/>
      <c r="C794" s="19"/>
      <c r="D794" s="19"/>
      <c r="E794" s="19"/>
      <c r="F794" s="19"/>
    </row>
    <row r="795" ht="15.75" customHeight="1">
      <c r="A795" s="19"/>
      <c r="B795" s="19"/>
      <c r="C795" s="19"/>
      <c r="D795" s="19"/>
      <c r="E795" s="19"/>
      <c r="F795" s="19"/>
    </row>
    <row r="796" ht="15.75" customHeight="1">
      <c r="A796" s="19"/>
      <c r="B796" s="19"/>
      <c r="C796" s="19"/>
      <c r="D796" s="19"/>
      <c r="E796" s="19"/>
      <c r="F796" s="19"/>
    </row>
    <row r="797" ht="15.75" customHeight="1">
      <c r="A797" s="19"/>
      <c r="B797" s="19"/>
      <c r="C797" s="19"/>
      <c r="D797" s="19"/>
      <c r="E797" s="19"/>
      <c r="F797" s="19"/>
    </row>
    <row r="798" ht="15.75" customHeight="1">
      <c r="A798" s="19"/>
      <c r="B798" s="19"/>
      <c r="C798" s="19"/>
      <c r="D798" s="19"/>
      <c r="E798" s="19"/>
      <c r="F798" s="19"/>
    </row>
    <row r="799" ht="15.75" customHeight="1">
      <c r="A799" s="19"/>
      <c r="B799" s="19"/>
      <c r="C799" s="19"/>
      <c r="D799" s="19"/>
      <c r="E799" s="19"/>
      <c r="F799" s="19"/>
    </row>
    <row r="800" ht="15.75" customHeight="1">
      <c r="A800" s="19"/>
      <c r="B800" s="19"/>
      <c r="C800" s="19"/>
      <c r="D800" s="19"/>
      <c r="E800" s="19"/>
      <c r="F800" s="19"/>
    </row>
    <row r="801" ht="15.75" customHeight="1">
      <c r="A801" s="19"/>
      <c r="B801" s="19"/>
      <c r="C801" s="19"/>
      <c r="D801" s="19"/>
      <c r="E801" s="19"/>
      <c r="F801" s="19"/>
    </row>
    <row r="802" ht="15.75" customHeight="1">
      <c r="A802" s="19"/>
      <c r="B802" s="19"/>
      <c r="C802" s="19"/>
      <c r="D802" s="19"/>
      <c r="E802" s="19"/>
      <c r="F802" s="19"/>
    </row>
    <row r="803" ht="15.75" customHeight="1">
      <c r="A803" s="19"/>
      <c r="B803" s="19"/>
      <c r="C803" s="19"/>
      <c r="D803" s="19"/>
      <c r="E803" s="19"/>
      <c r="F803" s="19"/>
    </row>
    <row r="804" ht="15.75" customHeight="1">
      <c r="A804" s="19"/>
      <c r="B804" s="19"/>
      <c r="C804" s="19"/>
      <c r="D804" s="19"/>
      <c r="E804" s="19"/>
      <c r="F804" s="19"/>
    </row>
    <row r="805" ht="15.75" customHeight="1">
      <c r="A805" s="19"/>
      <c r="B805" s="19"/>
      <c r="C805" s="19"/>
      <c r="D805" s="19"/>
      <c r="E805" s="19"/>
      <c r="F805" s="19"/>
    </row>
    <row r="806" ht="15.75" customHeight="1">
      <c r="A806" s="19"/>
      <c r="B806" s="19"/>
      <c r="C806" s="19"/>
      <c r="D806" s="19"/>
      <c r="E806" s="19"/>
      <c r="F806" s="19"/>
    </row>
    <row r="807" ht="15.75" customHeight="1">
      <c r="A807" s="19"/>
      <c r="B807" s="19"/>
      <c r="C807" s="19"/>
      <c r="D807" s="19"/>
      <c r="E807" s="19"/>
      <c r="F807" s="19"/>
    </row>
    <row r="808" ht="15.75" customHeight="1">
      <c r="A808" s="19"/>
      <c r="B808" s="19"/>
      <c r="C808" s="19"/>
      <c r="D808" s="19"/>
      <c r="E808" s="19"/>
      <c r="F808" s="19"/>
    </row>
    <row r="809" ht="15.75" customHeight="1">
      <c r="A809" s="19"/>
      <c r="B809" s="19"/>
      <c r="C809" s="19"/>
      <c r="D809" s="19"/>
      <c r="E809" s="19"/>
      <c r="F809" s="19"/>
    </row>
    <row r="810" ht="15.75" customHeight="1">
      <c r="A810" s="19"/>
      <c r="B810" s="19"/>
      <c r="C810" s="19"/>
      <c r="D810" s="19"/>
      <c r="E810" s="19"/>
      <c r="F810" s="19"/>
    </row>
    <row r="811" ht="15.75" customHeight="1">
      <c r="A811" s="19"/>
      <c r="B811" s="19"/>
      <c r="C811" s="19"/>
      <c r="D811" s="19"/>
      <c r="E811" s="19"/>
      <c r="F811" s="19"/>
    </row>
    <row r="812" ht="15.75" customHeight="1">
      <c r="A812" s="19"/>
      <c r="B812" s="19"/>
      <c r="C812" s="19"/>
      <c r="D812" s="19"/>
      <c r="E812" s="19"/>
      <c r="F812" s="19"/>
    </row>
    <row r="813" ht="15.75" customHeight="1">
      <c r="A813" s="19"/>
      <c r="B813" s="19"/>
      <c r="C813" s="19"/>
      <c r="D813" s="19"/>
      <c r="E813" s="19"/>
      <c r="F813" s="19"/>
    </row>
    <row r="814" ht="15.75" customHeight="1">
      <c r="A814" s="19"/>
      <c r="B814" s="19"/>
      <c r="C814" s="19"/>
      <c r="D814" s="19"/>
      <c r="E814" s="19"/>
      <c r="F814" s="19"/>
    </row>
    <row r="815" ht="15.75" customHeight="1">
      <c r="A815" s="19"/>
      <c r="B815" s="19"/>
      <c r="C815" s="19"/>
      <c r="D815" s="19"/>
      <c r="E815" s="19"/>
      <c r="F815" s="19"/>
    </row>
    <row r="816" ht="15.75" customHeight="1">
      <c r="A816" s="19"/>
      <c r="B816" s="19"/>
      <c r="C816" s="19"/>
      <c r="D816" s="19"/>
      <c r="E816" s="19"/>
      <c r="F816" s="19"/>
    </row>
    <row r="817" ht="15.75" customHeight="1">
      <c r="A817" s="19"/>
      <c r="B817" s="19"/>
      <c r="C817" s="19"/>
      <c r="D817" s="19"/>
      <c r="E817" s="19"/>
      <c r="F817" s="19"/>
    </row>
    <row r="818" ht="15.75" customHeight="1">
      <c r="A818" s="19"/>
      <c r="B818" s="19"/>
      <c r="C818" s="19"/>
      <c r="D818" s="19"/>
      <c r="E818" s="19"/>
      <c r="F818" s="19"/>
    </row>
    <row r="819" ht="15.75" customHeight="1">
      <c r="A819" s="19"/>
      <c r="B819" s="19"/>
      <c r="C819" s="19"/>
      <c r="D819" s="19"/>
      <c r="E819" s="19"/>
      <c r="F819" s="19"/>
    </row>
    <row r="820" ht="15.75" customHeight="1">
      <c r="A820" s="19"/>
      <c r="B820" s="19"/>
      <c r="C820" s="19"/>
      <c r="D820" s="19"/>
      <c r="E820" s="19"/>
      <c r="F820" s="19"/>
    </row>
    <row r="821" ht="15.75" customHeight="1">
      <c r="A821" s="19"/>
      <c r="B821" s="19"/>
      <c r="C821" s="19"/>
      <c r="D821" s="19"/>
      <c r="E821" s="19"/>
      <c r="F821" s="19"/>
    </row>
    <row r="822" ht="15.75" customHeight="1">
      <c r="A822" s="19"/>
      <c r="B822" s="19"/>
      <c r="C822" s="19"/>
      <c r="D822" s="19"/>
      <c r="E822" s="19"/>
      <c r="F822" s="19"/>
    </row>
    <row r="823" ht="15.75" customHeight="1">
      <c r="A823" s="19"/>
      <c r="B823" s="19"/>
      <c r="C823" s="19"/>
      <c r="D823" s="19"/>
      <c r="E823" s="19"/>
      <c r="F823" s="19"/>
    </row>
    <row r="824" ht="15.75" customHeight="1">
      <c r="A824" s="19"/>
      <c r="B824" s="19"/>
      <c r="C824" s="19"/>
      <c r="D824" s="19"/>
      <c r="E824" s="19"/>
      <c r="F824" s="19"/>
    </row>
    <row r="825" ht="15.75" customHeight="1">
      <c r="A825" s="19"/>
      <c r="B825" s="19"/>
      <c r="C825" s="19"/>
      <c r="D825" s="19"/>
      <c r="E825" s="19"/>
      <c r="F825" s="19"/>
    </row>
    <row r="826" ht="15.75" customHeight="1">
      <c r="A826" s="19"/>
      <c r="B826" s="19"/>
      <c r="C826" s="19"/>
      <c r="D826" s="19"/>
      <c r="E826" s="19"/>
      <c r="F826" s="19"/>
    </row>
    <row r="827" ht="15.75" customHeight="1">
      <c r="A827" s="19"/>
      <c r="B827" s="19"/>
      <c r="C827" s="19"/>
      <c r="D827" s="19"/>
      <c r="E827" s="19"/>
      <c r="F827" s="19"/>
    </row>
    <row r="828" ht="15.75" customHeight="1">
      <c r="A828" s="19"/>
      <c r="B828" s="19"/>
      <c r="C828" s="19"/>
      <c r="D828" s="19"/>
      <c r="E828" s="19"/>
      <c r="F828" s="19"/>
    </row>
    <row r="829" ht="15.75" customHeight="1">
      <c r="A829" s="19"/>
      <c r="B829" s="19"/>
      <c r="C829" s="19"/>
      <c r="D829" s="19"/>
      <c r="E829" s="19"/>
      <c r="F829" s="19"/>
    </row>
    <row r="830" ht="15.75" customHeight="1">
      <c r="A830" s="19"/>
      <c r="B830" s="19"/>
      <c r="C830" s="19"/>
      <c r="D830" s="19"/>
      <c r="E830" s="19"/>
      <c r="F830" s="19"/>
    </row>
    <row r="831" ht="15.75" customHeight="1">
      <c r="A831" s="19"/>
      <c r="B831" s="19"/>
      <c r="C831" s="19"/>
      <c r="D831" s="19"/>
      <c r="E831" s="19"/>
      <c r="F831" s="19"/>
    </row>
    <row r="832" ht="15.75" customHeight="1">
      <c r="A832" s="19"/>
      <c r="B832" s="19"/>
      <c r="C832" s="19"/>
      <c r="D832" s="19"/>
      <c r="E832" s="19"/>
      <c r="F832" s="19"/>
    </row>
    <row r="833" ht="15.75" customHeight="1">
      <c r="A833" s="19"/>
      <c r="B833" s="19"/>
      <c r="C833" s="19"/>
      <c r="D833" s="19"/>
      <c r="E833" s="19"/>
      <c r="F833" s="19"/>
    </row>
    <row r="834" ht="15.75" customHeight="1">
      <c r="A834" s="19"/>
      <c r="B834" s="19"/>
      <c r="C834" s="19"/>
      <c r="D834" s="19"/>
      <c r="E834" s="19"/>
      <c r="F834" s="19"/>
    </row>
    <row r="835" ht="15.75" customHeight="1">
      <c r="A835" s="19"/>
      <c r="B835" s="19"/>
      <c r="C835" s="19"/>
      <c r="D835" s="19"/>
      <c r="E835" s="19"/>
      <c r="F835" s="19"/>
    </row>
    <row r="836" ht="15.75" customHeight="1">
      <c r="A836" s="19"/>
      <c r="B836" s="19"/>
      <c r="C836" s="19"/>
      <c r="D836" s="19"/>
      <c r="E836" s="19"/>
      <c r="F836" s="19"/>
    </row>
    <row r="837" ht="15.75" customHeight="1">
      <c r="A837" s="19"/>
      <c r="B837" s="19"/>
      <c r="C837" s="19"/>
      <c r="D837" s="19"/>
      <c r="E837" s="19"/>
      <c r="F837" s="19"/>
    </row>
    <row r="838" ht="15.75" customHeight="1">
      <c r="A838" s="19"/>
      <c r="B838" s="19"/>
      <c r="C838" s="19"/>
      <c r="D838" s="19"/>
      <c r="E838" s="19"/>
      <c r="F838" s="19"/>
    </row>
    <row r="839" ht="15.75" customHeight="1">
      <c r="A839" s="19"/>
      <c r="B839" s="19"/>
      <c r="C839" s="19"/>
      <c r="D839" s="19"/>
      <c r="E839" s="19"/>
      <c r="F839" s="19"/>
    </row>
    <row r="840" ht="15.75" customHeight="1">
      <c r="A840" s="19"/>
      <c r="B840" s="19"/>
      <c r="C840" s="19"/>
      <c r="D840" s="19"/>
      <c r="E840" s="19"/>
      <c r="F840" s="19"/>
    </row>
    <row r="841" ht="15.75" customHeight="1">
      <c r="A841" s="19"/>
      <c r="B841" s="19"/>
      <c r="C841" s="19"/>
      <c r="D841" s="19"/>
      <c r="E841" s="19"/>
      <c r="F841" s="19"/>
    </row>
    <row r="842" ht="15.75" customHeight="1">
      <c r="A842" s="19"/>
      <c r="B842" s="19"/>
      <c r="C842" s="19"/>
      <c r="D842" s="19"/>
      <c r="E842" s="19"/>
      <c r="F842" s="19"/>
    </row>
    <row r="843" ht="15.75" customHeight="1">
      <c r="A843" s="19"/>
      <c r="B843" s="19"/>
      <c r="C843" s="19"/>
      <c r="D843" s="19"/>
      <c r="E843" s="19"/>
      <c r="F843" s="19"/>
    </row>
    <row r="844" ht="15.75" customHeight="1">
      <c r="A844" s="19"/>
      <c r="B844" s="19"/>
      <c r="C844" s="19"/>
      <c r="D844" s="19"/>
      <c r="E844" s="19"/>
      <c r="F844" s="19"/>
    </row>
    <row r="845" ht="15.75" customHeight="1">
      <c r="A845" s="19"/>
      <c r="B845" s="19"/>
      <c r="C845" s="19"/>
      <c r="D845" s="19"/>
      <c r="E845" s="19"/>
      <c r="F845" s="19"/>
    </row>
    <row r="846" ht="15.75" customHeight="1">
      <c r="A846" s="19"/>
      <c r="B846" s="19"/>
      <c r="C846" s="19"/>
      <c r="D846" s="19"/>
      <c r="E846" s="19"/>
      <c r="F846" s="19"/>
    </row>
    <row r="847" ht="15.75" customHeight="1">
      <c r="A847" s="19"/>
      <c r="B847" s="19"/>
      <c r="C847" s="19"/>
      <c r="D847" s="19"/>
      <c r="E847" s="19"/>
      <c r="F847" s="19"/>
    </row>
    <row r="848" ht="15.75" customHeight="1">
      <c r="A848" s="19"/>
      <c r="B848" s="19"/>
      <c r="C848" s="19"/>
      <c r="D848" s="19"/>
      <c r="E848" s="19"/>
      <c r="F848" s="19"/>
    </row>
    <row r="849" ht="15.75" customHeight="1">
      <c r="A849" s="19"/>
      <c r="B849" s="19"/>
      <c r="C849" s="19"/>
      <c r="D849" s="19"/>
      <c r="E849" s="19"/>
      <c r="F849" s="19"/>
    </row>
    <row r="850" ht="15.75" customHeight="1">
      <c r="A850" s="19"/>
      <c r="B850" s="19"/>
      <c r="C850" s="19"/>
      <c r="D850" s="19"/>
      <c r="E850" s="19"/>
      <c r="F850" s="19"/>
    </row>
    <row r="851" ht="15.75" customHeight="1">
      <c r="A851" s="19"/>
      <c r="B851" s="19"/>
      <c r="C851" s="19"/>
      <c r="D851" s="19"/>
      <c r="E851" s="19"/>
      <c r="F851" s="19"/>
    </row>
    <row r="852" ht="15.75" customHeight="1">
      <c r="A852" s="19"/>
      <c r="B852" s="19"/>
      <c r="C852" s="19"/>
      <c r="D852" s="19"/>
      <c r="E852" s="19"/>
      <c r="F852" s="19"/>
    </row>
    <row r="853" ht="15.75" customHeight="1">
      <c r="A853" s="19"/>
      <c r="B853" s="19"/>
      <c r="C853" s="19"/>
      <c r="D853" s="19"/>
      <c r="E853" s="19"/>
      <c r="F853" s="19"/>
    </row>
    <row r="854" ht="15.75" customHeight="1">
      <c r="A854" s="19"/>
      <c r="B854" s="19"/>
      <c r="C854" s="19"/>
      <c r="D854" s="19"/>
      <c r="E854" s="19"/>
      <c r="F854" s="19"/>
    </row>
    <row r="855" ht="15.75" customHeight="1">
      <c r="A855" s="19"/>
      <c r="B855" s="19"/>
      <c r="C855" s="19"/>
      <c r="D855" s="19"/>
      <c r="E855" s="19"/>
      <c r="F855" s="19"/>
    </row>
    <row r="856" ht="15.75" customHeight="1">
      <c r="A856" s="19"/>
      <c r="B856" s="19"/>
      <c r="C856" s="19"/>
      <c r="D856" s="19"/>
      <c r="E856" s="19"/>
      <c r="F856" s="19"/>
    </row>
    <row r="857" ht="15.75" customHeight="1">
      <c r="A857" s="19"/>
      <c r="B857" s="19"/>
      <c r="C857" s="19"/>
      <c r="D857" s="19"/>
      <c r="E857" s="19"/>
      <c r="F857" s="19"/>
    </row>
    <row r="858" ht="15.75" customHeight="1">
      <c r="A858" s="19"/>
      <c r="B858" s="19"/>
      <c r="C858" s="19"/>
      <c r="D858" s="19"/>
      <c r="E858" s="19"/>
      <c r="F858" s="19"/>
    </row>
    <row r="859" ht="15.75" customHeight="1">
      <c r="A859" s="19"/>
      <c r="B859" s="19"/>
      <c r="C859" s="19"/>
      <c r="D859" s="19"/>
      <c r="E859" s="19"/>
      <c r="F859" s="19"/>
    </row>
    <row r="860" ht="15.75" customHeight="1">
      <c r="A860" s="19"/>
      <c r="B860" s="19"/>
      <c r="C860" s="19"/>
      <c r="D860" s="19"/>
      <c r="E860" s="19"/>
      <c r="F860" s="19"/>
    </row>
    <row r="861" ht="15.75" customHeight="1">
      <c r="A861" s="19"/>
      <c r="B861" s="19"/>
      <c r="C861" s="19"/>
      <c r="D861" s="19"/>
      <c r="E861" s="19"/>
      <c r="F861" s="19"/>
    </row>
    <row r="862" ht="15.75" customHeight="1">
      <c r="A862" s="19"/>
      <c r="B862" s="19"/>
      <c r="C862" s="19"/>
      <c r="D862" s="19"/>
      <c r="E862" s="19"/>
      <c r="F862" s="19"/>
    </row>
    <row r="863" ht="15.75" customHeight="1">
      <c r="A863" s="19"/>
      <c r="B863" s="19"/>
      <c r="C863" s="19"/>
      <c r="D863" s="19"/>
      <c r="E863" s="19"/>
      <c r="F863" s="19"/>
    </row>
    <row r="864" ht="15.75" customHeight="1">
      <c r="A864" s="19"/>
      <c r="B864" s="19"/>
      <c r="C864" s="19"/>
      <c r="D864" s="19"/>
      <c r="E864" s="19"/>
      <c r="F864" s="19"/>
    </row>
    <row r="865" ht="15.75" customHeight="1">
      <c r="A865" s="19"/>
      <c r="B865" s="19"/>
      <c r="C865" s="19"/>
      <c r="D865" s="19"/>
      <c r="E865" s="19"/>
      <c r="F865" s="19"/>
    </row>
    <row r="866" ht="15.75" customHeight="1">
      <c r="A866" s="19"/>
      <c r="B866" s="19"/>
      <c r="C866" s="19"/>
      <c r="D866" s="19"/>
      <c r="E866" s="19"/>
      <c r="F866" s="19"/>
    </row>
    <row r="867" ht="15.75" customHeight="1">
      <c r="A867" s="19"/>
      <c r="B867" s="19"/>
      <c r="C867" s="19"/>
      <c r="D867" s="19"/>
      <c r="E867" s="19"/>
      <c r="F867" s="19"/>
    </row>
    <row r="868" ht="15.75" customHeight="1">
      <c r="A868" s="19"/>
      <c r="B868" s="19"/>
      <c r="C868" s="19"/>
      <c r="D868" s="19"/>
      <c r="E868" s="19"/>
      <c r="F868" s="19"/>
    </row>
    <row r="869" ht="15.75" customHeight="1">
      <c r="A869" s="19"/>
      <c r="B869" s="19"/>
      <c r="C869" s="19"/>
      <c r="D869" s="19"/>
      <c r="E869" s="19"/>
      <c r="F869" s="19"/>
    </row>
    <row r="870" ht="15.75" customHeight="1">
      <c r="A870" s="19"/>
      <c r="B870" s="19"/>
      <c r="C870" s="19"/>
      <c r="D870" s="19"/>
      <c r="E870" s="19"/>
      <c r="F870" s="19"/>
    </row>
    <row r="871" ht="15.75" customHeight="1">
      <c r="A871" s="19"/>
      <c r="B871" s="19"/>
      <c r="C871" s="19"/>
      <c r="D871" s="19"/>
      <c r="E871" s="19"/>
      <c r="F871" s="19"/>
    </row>
    <row r="872" ht="15.75" customHeight="1">
      <c r="A872" s="19"/>
      <c r="B872" s="19"/>
      <c r="C872" s="19"/>
      <c r="D872" s="19"/>
      <c r="E872" s="19"/>
      <c r="F872" s="19"/>
    </row>
    <row r="873" ht="15.75" customHeight="1">
      <c r="A873" s="19"/>
      <c r="B873" s="19"/>
      <c r="C873" s="19"/>
      <c r="D873" s="19"/>
      <c r="E873" s="19"/>
      <c r="F873" s="19"/>
    </row>
    <row r="874" ht="15.75" customHeight="1">
      <c r="A874" s="19"/>
      <c r="B874" s="19"/>
      <c r="C874" s="19"/>
      <c r="D874" s="19"/>
      <c r="E874" s="19"/>
      <c r="F874" s="19"/>
    </row>
    <row r="875" ht="15.75" customHeight="1">
      <c r="A875" s="19"/>
      <c r="B875" s="19"/>
      <c r="C875" s="19"/>
      <c r="D875" s="19"/>
      <c r="E875" s="19"/>
      <c r="F875" s="19"/>
    </row>
    <row r="876" ht="15.75" customHeight="1">
      <c r="A876" s="19"/>
      <c r="B876" s="19"/>
      <c r="C876" s="19"/>
      <c r="D876" s="19"/>
      <c r="E876" s="19"/>
      <c r="F876" s="19"/>
    </row>
    <row r="877" ht="15.75" customHeight="1">
      <c r="A877" s="19"/>
      <c r="B877" s="19"/>
      <c r="C877" s="19"/>
      <c r="D877" s="19"/>
      <c r="E877" s="19"/>
      <c r="F877" s="19"/>
    </row>
    <row r="878" ht="15.75" customHeight="1">
      <c r="A878" s="19"/>
      <c r="B878" s="19"/>
      <c r="C878" s="19"/>
      <c r="D878" s="19"/>
      <c r="E878" s="19"/>
      <c r="F878" s="19"/>
    </row>
    <row r="879" ht="15.75" customHeight="1">
      <c r="A879" s="19"/>
      <c r="B879" s="19"/>
      <c r="C879" s="19"/>
      <c r="D879" s="19"/>
      <c r="E879" s="19"/>
      <c r="F879" s="19"/>
    </row>
    <row r="880" ht="15.75" customHeight="1">
      <c r="A880" s="19"/>
      <c r="B880" s="19"/>
      <c r="C880" s="19"/>
      <c r="D880" s="19"/>
      <c r="E880" s="19"/>
      <c r="F880" s="19"/>
    </row>
    <row r="881" ht="15.75" customHeight="1">
      <c r="A881" s="19"/>
      <c r="B881" s="19"/>
      <c r="C881" s="19"/>
      <c r="D881" s="19"/>
      <c r="E881" s="19"/>
      <c r="F881" s="19"/>
    </row>
    <row r="882" ht="15.75" customHeight="1">
      <c r="A882" s="19"/>
      <c r="B882" s="19"/>
      <c r="C882" s="19"/>
      <c r="D882" s="19"/>
      <c r="E882" s="19"/>
      <c r="F882" s="19"/>
    </row>
    <row r="883" ht="15.75" customHeight="1">
      <c r="A883" s="19"/>
      <c r="B883" s="19"/>
      <c r="C883" s="19"/>
      <c r="D883" s="19"/>
      <c r="E883" s="19"/>
      <c r="F883" s="19"/>
    </row>
    <row r="884" ht="15.75" customHeight="1">
      <c r="A884" s="19"/>
      <c r="B884" s="19"/>
      <c r="C884" s="19"/>
      <c r="D884" s="19"/>
      <c r="E884" s="19"/>
      <c r="F884" s="19"/>
    </row>
    <row r="885" ht="15.75" customHeight="1">
      <c r="A885" s="19"/>
      <c r="B885" s="19"/>
      <c r="C885" s="19"/>
      <c r="D885" s="19"/>
      <c r="E885" s="19"/>
      <c r="F885" s="19"/>
    </row>
    <row r="886" ht="15.75" customHeight="1">
      <c r="A886" s="19"/>
      <c r="B886" s="19"/>
      <c r="C886" s="19"/>
      <c r="D886" s="19"/>
      <c r="E886" s="19"/>
      <c r="F886" s="19"/>
    </row>
    <row r="887" ht="15.75" customHeight="1">
      <c r="A887" s="19"/>
      <c r="B887" s="19"/>
      <c r="C887" s="19"/>
      <c r="D887" s="19"/>
      <c r="E887" s="19"/>
      <c r="F887" s="19"/>
    </row>
    <row r="888" ht="15.75" customHeight="1">
      <c r="A888" s="19"/>
      <c r="B888" s="19"/>
      <c r="C888" s="19"/>
      <c r="D888" s="19"/>
      <c r="E888" s="19"/>
      <c r="F888" s="19"/>
    </row>
    <row r="889" ht="15.75" customHeight="1">
      <c r="A889" s="19"/>
      <c r="B889" s="19"/>
      <c r="C889" s="19"/>
      <c r="D889" s="19"/>
      <c r="E889" s="19"/>
      <c r="F889" s="19"/>
    </row>
    <row r="890" ht="15.75" customHeight="1">
      <c r="A890" s="19"/>
      <c r="B890" s="19"/>
      <c r="C890" s="19"/>
      <c r="D890" s="19"/>
      <c r="E890" s="19"/>
      <c r="F890" s="19"/>
    </row>
    <row r="891" ht="15.75" customHeight="1">
      <c r="A891" s="19"/>
      <c r="B891" s="19"/>
      <c r="C891" s="19"/>
      <c r="D891" s="19"/>
      <c r="E891" s="19"/>
      <c r="F891" s="19"/>
    </row>
    <row r="892" ht="15.75" customHeight="1">
      <c r="A892" s="19"/>
      <c r="B892" s="19"/>
      <c r="C892" s="19"/>
      <c r="D892" s="19"/>
      <c r="E892" s="19"/>
      <c r="F892" s="19"/>
    </row>
    <row r="893" ht="15.75" customHeight="1">
      <c r="A893" s="19"/>
      <c r="B893" s="19"/>
      <c r="C893" s="19"/>
      <c r="D893" s="19"/>
      <c r="E893" s="19"/>
      <c r="F893" s="19"/>
    </row>
    <row r="894" ht="15.75" customHeight="1">
      <c r="A894" s="19"/>
      <c r="B894" s="19"/>
      <c r="C894" s="19"/>
      <c r="D894" s="19"/>
      <c r="E894" s="19"/>
      <c r="F894" s="19"/>
    </row>
    <row r="895" ht="15.75" customHeight="1">
      <c r="A895" s="19"/>
      <c r="B895" s="19"/>
      <c r="C895" s="19"/>
      <c r="D895" s="19"/>
      <c r="E895" s="19"/>
      <c r="F895" s="19"/>
    </row>
    <row r="896" ht="15.75" customHeight="1">
      <c r="A896" s="19"/>
      <c r="B896" s="19"/>
      <c r="C896" s="19"/>
      <c r="D896" s="19"/>
      <c r="E896" s="19"/>
      <c r="F896" s="19"/>
    </row>
    <row r="897" ht="15.75" customHeight="1">
      <c r="A897" s="19"/>
      <c r="B897" s="19"/>
      <c r="C897" s="19"/>
      <c r="D897" s="19"/>
      <c r="E897" s="19"/>
      <c r="F897" s="19"/>
    </row>
    <row r="898" ht="15.75" customHeight="1">
      <c r="A898" s="19"/>
      <c r="B898" s="19"/>
      <c r="C898" s="19"/>
      <c r="D898" s="19"/>
      <c r="E898" s="19"/>
      <c r="F898" s="19"/>
    </row>
    <row r="899" ht="15.75" customHeight="1">
      <c r="A899" s="19"/>
      <c r="B899" s="19"/>
      <c r="C899" s="19"/>
      <c r="D899" s="19"/>
      <c r="E899" s="19"/>
      <c r="F899" s="19"/>
    </row>
    <row r="900" ht="15.75" customHeight="1">
      <c r="A900" s="19"/>
      <c r="B900" s="19"/>
      <c r="C900" s="19"/>
      <c r="D900" s="19"/>
      <c r="E900" s="19"/>
      <c r="F900" s="19"/>
    </row>
    <row r="901" ht="15.75" customHeight="1">
      <c r="A901" s="19"/>
      <c r="B901" s="19"/>
      <c r="C901" s="19"/>
      <c r="D901" s="19"/>
      <c r="E901" s="19"/>
      <c r="F901" s="19"/>
    </row>
    <row r="902" ht="15.75" customHeight="1">
      <c r="A902" s="19"/>
      <c r="B902" s="19"/>
      <c r="C902" s="19"/>
      <c r="D902" s="19"/>
      <c r="E902" s="19"/>
      <c r="F902" s="19"/>
    </row>
    <row r="903" ht="15.75" customHeight="1">
      <c r="A903" s="19"/>
      <c r="B903" s="19"/>
      <c r="C903" s="19"/>
      <c r="D903" s="19"/>
      <c r="E903" s="19"/>
      <c r="F903" s="19"/>
    </row>
    <row r="904" ht="15.75" customHeight="1">
      <c r="A904" s="19"/>
      <c r="B904" s="19"/>
      <c r="C904" s="19"/>
      <c r="D904" s="19"/>
      <c r="E904" s="19"/>
      <c r="F904" s="19"/>
    </row>
    <row r="905" ht="15.75" customHeight="1">
      <c r="A905" s="19"/>
      <c r="B905" s="19"/>
      <c r="C905" s="19"/>
      <c r="D905" s="19"/>
      <c r="E905" s="19"/>
      <c r="F905" s="19"/>
    </row>
    <row r="906" ht="15.75" customHeight="1">
      <c r="A906" s="19"/>
      <c r="B906" s="19"/>
      <c r="C906" s="19"/>
      <c r="D906" s="19"/>
      <c r="E906" s="19"/>
      <c r="F906" s="19"/>
    </row>
    <row r="907" ht="15.75" customHeight="1">
      <c r="A907" s="19"/>
      <c r="B907" s="19"/>
      <c r="C907" s="19"/>
      <c r="D907" s="19"/>
      <c r="E907" s="19"/>
      <c r="F907" s="19"/>
    </row>
    <row r="908" ht="15.75" customHeight="1">
      <c r="A908" s="19"/>
      <c r="B908" s="19"/>
      <c r="C908" s="19"/>
      <c r="D908" s="19"/>
      <c r="E908" s="19"/>
      <c r="F908" s="19"/>
    </row>
    <row r="909" ht="15.75" customHeight="1">
      <c r="A909" s="19"/>
      <c r="B909" s="19"/>
      <c r="C909" s="19"/>
      <c r="D909" s="19"/>
      <c r="E909" s="19"/>
      <c r="F909" s="19"/>
    </row>
    <row r="910" ht="15.75" customHeight="1">
      <c r="A910" s="19"/>
      <c r="B910" s="19"/>
      <c r="C910" s="19"/>
      <c r="D910" s="19"/>
      <c r="E910" s="19"/>
      <c r="F910" s="19"/>
    </row>
    <row r="911" ht="15.75" customHeight="1">
      <c r="A911" s="19"/>
      <c r="B911" s="19"/>
      <c r="C911" s="19"/>
      <c r="D911" s="19"/>
      <c r="E911" s="19"/>
      <c r="F911" s="19"/>
    </row>
    <row r="912" ht="15.75" customHeight="1">
      <c r="A912" s="19"/>
      <c r="B912" s="19"/>
      <c r="C912" s="19"/>
      <c r="D912" s="19"/>
      <c r="E912" s="19"/>
      <c r="F912" s="19"/>
    </row>
    <row r="913" ht="15.75" customHeight="1">
      <c r="A913" s="19"/>
      <c r="B913" s="19"/>
      <c r="C913" s="19"/>
      <c r="D913" s="19"/>
      <c r="E913" s="19"/>
      <c r="F913" s="19"/>
    </row>
    <row r="914" ht="15.75" customHeight="1">
      <c r="A914" s="19"/>
      <c r="B914" s="19"/>
      <c r="C914" s="19"/>
      <c r="D914" s="19"/>
      <c r="E914" s="19"/>
      <c r="F914" s="19"/>
    </row>
    <row r="915" ht="15.75" customHeight="1">
      <c r="A915" s="19"/>
      <c r="B915" s="19"/>
      <c r="C915" s="19"/>
      <c r="D915" s="19"/>
      <c r="E915" s="19"/>
      <c r="F915" s="19"/>
    </row>
    <row r="916" ht="15.75" customHeight="1">
      <c r="A916" s="19"/>
      <c r="B916" s="19"/>
      <c r="C916" s="19"/>
      <c r="D916" s="19"/>
      <c r="E916" s="19"/>
      <c r="F916" s="19"/>
    </row>
    <row r="917" ht="15.75" customHeight="1">
      <c r="A917" s="19"/>
      <c r="B917" s="19"/>
      <c r="C917" s="19"/>
      <c r="D917" s="19"/>
      <c r="E917" s="19"/>
      <c r="F917" s="19"/>
    </row>
    <row r="918" ht="15.75" customHeight="1">
      <c r="A918" s="19"/>
      <c r="B918" s="19"/>
      <c r="C918" s="19"/>
      <c r="D918" s="19"/>
      <c r="E918" s="19"/>
      <c r="F918" s="19"/>
    </row>
    <row r="919" ht="15.75" customHeight="1">
      <c r="A919" s="19"/>
      <c r="B919" s="19"/>
      <c r="C919" s="19"/>
      <c r="D919" s="19"/>
      <c r="E919" s="19"/>
      <c r="F919" s="19"/>
    </row>
    <row r="920" ht="15.75" customHeight="1">
      <c r="A920" s="19"/>
      <c r="B920" s="19"/>
      <c r="C920" s="19"/>
      <c r="D920" s="19"/>
      <c r="E920" s="19"/>
      <c r="F920" s="19"/>
    </row>
    <row r="921" ht="15.75" customHeight="1">
      <c r="A921" s="19"/>
      <c r="B921" s="19"/>
      <c r="C921" s="19"/>
      <c r="D921" s="19"/>
      <c r="E921" s="19"/>
      <c r="F921" s="19"/>
    </row>
    <row r="922" ht="15.75" customHeight="1">
      <c r="A922" s="19"/>
      <c r="B922" s="19"/>
      <c r="C922" s="19"/>
      <c r="D922" s="19"/>
      <c r="E922" s="19"/>
      <c r="F922" s="19"/>
    </row>
    <row r="923" ht="15.75" customHeight="1">
      <c r="A923" s="19"/>
      <c r="B923" s="19"/>
      <c r="C923" s="19"/>
      <c r="D923" s="19"/>
      <c r="E923" s="19"/>
      <c r="F923" s="19"/>
    </row>
    <row r="924" ht="15.75" customHeight="1">
      <c r="A924" s="19"/>
      <c r="B924" s="19"/>
      <c r="C924" s="19"/>
      <c r="D924" s="19"/>
      <c r="E924" s="19"/>
      <c r="F924" s="19"/>
    </row>
    <row r="925" ht="15.75" customHeight="1">
      <c r="A925" s="19"/>
      <c r="B925" s="19"/>
      <c r="C925" s="19"/>
      <c r="D925" s="19"/>
      <c r="E925" s="19"/>
      <c r="F925" s="19"/>
    </row>
    <row r="926" ht="15.75" customHeight="1">
      <c r="A926" s="19"/>
      <c r="B926" s="19"/>
      <c r="C926" s="19"/>
      <c r="D926" s="19"/>
      <c r="E926" s="19"/>
      <c r="F926" s="19"/>
    </row>
    <row r="927" ht="15.75" customHeight="1">
      <c r="A927" s="19"/>
      <c r="B927" s="19"/>
      <c r="C927" s="19"/>
      <c r="D927" s="19"/>
      <c r="E927" s="19"/>
      <c r="F927" s="19"/>
    </row>
    <row r="928" ht="15.75" customHeight="1">
      <c r="A928" s="19"/>
      <c r="B928" s="19"/>
      <c r="C928" s="19"/>
      <c r="D928" s="19"/>
      <c r="E928" s="19"/>
      <c r="F928" s="19"/>
    </row>
    <row r="929" ht="15.75" customHeight="1">
      <c r="A929" s="19"/>
      <c r="B929" s="19"/>
      <c r="C929" s="19"/>
      <c r="D929" s="19"/>
      <c r="E929" s="19"/>
      <c r="F929" s="19"/>
    </row>
    <row r="930" ht="15.75" customHeight="1">
      <c r="A930" s="19"/>
      <c r="B930" s="19"/>
      <c r="C930" s="19"/>
      <c r="D930" s="19"/>
      <c r="E930" s="19"/>
      <c r="F930" s="19"/>
    </row>
    <row r="931" ht="15.75" customHeight="1">
      <c r="A931" s="19"/>
      <c r="B931" s="19"/>
      <c r="C931" s="19"/>
      <c r="D931" s="19"/>
      <c r="E931" s="19"/>
      <c r="F931" s="19"/>
    </row>
    <row r="932" ht="15.75" customHeight="1">
      <c r="A932" s="19"/>
      <c r="B932" s="19"/>
      <c r="C932" s="19"/>
      <c r="D932" s="19"/>
      <c r="E932" s="19"/>
      <c r="F932" s="19"/>
    </row>
    <row r="933" ht="15.75" customHeight="1">
      <c r="A933" s="19"/>
      <c r="B933" s="19"/>
      <c r="C933" s="19"/>
      <c r="D933" s="19"/>
      <c r="E933" s="19"/>
      <c r="F933" s="19"/>
    </row>
    <row r="934" ht="15.75" customHeight="1">
      <c r="A934" s="19"/>
      <c r="B934" s="19"/>
      <c r="C934" s="19"/>
      <c r="D934" s="19"/>
      <c r="E934" s="19"/>
      <c r="F934" s="19"/>
    </row>
    <row r="935" ht="15.75" customHeight="1">
      <c r="A935" s="19"/>
      <c r="B935" s="19"/>
      <c r="C935" s="19"/>
      <c r="D935" s="19"/>
      <c r="E935" s="19"/>
      <c r="F935" s="19"/>
    </row>
    <row r="936" ht="15.75" customHeight="1">
      <c r="A936" s="19"/>
      <c r="B936" s="19"/>
      <c r="C936" s="19"/>
      <c r="D936" s="19"/>
      <c r="E936" s="19"/>
      <c r="F936" s="19"/>
    </row>
    <row r="937" ht="15.75" customHeight="1">
      <c r="A937" s="19"/>
      <c r="B937" s="19"/>
      <c r="C937" s="19"/>
      <c r="D937" s="19"/>
      <c r="E937" s="19"/>
      <c r="F937" s="19"/>
    </row>
    <row r="938" ht="15.75" customHeight="1">
      <c r="A938" s="19"/>
      <c r="B938" s="19"/>
      <c r="C938" s="19"/>
      <c r="D938" s="19"/>
      <c r="E938" s="19"/>
      <c r="F938" s="19"/>
    </row>
    <row r="939" ht="15.75" customHeight="1">
      <c r="A939" s="19"/>
      <c r="B939" s="19"/>
      <c r="C939" s="19"/>
      <c r="D939" s="19"/>
      <c r="E939" s="19"/>
      <c r="F939" s="19"/>
    </row>
    <row r="940" ht="15.75" customHeight="1">
      <c r="A940" s="19"/>
      <c r="B940" s="19"/>
      <c r="C940" s="19"/>
      <c r="D940" s="19"/>
      <c r="E940" s="19"/>
      <c r="F940" s="19"/>
    </row>
    <row r="941" ht="15.75" customHeight="1">
      <c r="A941" s="19"/>
      <c r="B941" s="19"/>
      <c r="C941" s="19"/>
      <c r="D941" s="19"/>
      <c r="E941" s="19"/>
      <c r="F941" s="19"/>
    </row>
    <row r="942" ht="15.75" customHeight="1">
      <c r="A942" s="19"/>
      <c r="B942" s="19"/>
      <c r="C942" s="19"/>
      <c r="D942" s="19"/>
      <c r="E942" s="19"/>
      <c r="F942" s="19"/>
    </row>
    <row r="943" ht="15.75" customHeight="1">
      <c r="A943" s="19"/>
      <c r="B943" s="19"/>
      <c r="C943" s="19"/>
      <c r="D943" s="19"/>
      <c r="E943" s="19"/>
      <c r="F943" s="19"/>
    </row>
    <row r="944" ht="15.75" customHeight="1">
      <c r="A944" s="19"/>
      <c r="B944" s="19"/>
      <c r="C944" s="19"/>
      <c r="D944" s="19"/>
      <c r="E944" s="19"/>
      <c r="F944" s="19"/>
    </row>
    <row r="945" ht="15.75" customHeight="1">
      <c r="A945" s="19"/>
      <c r="B945" s="19"/>
      <c r="C945" s="19"/>
      <c r="D945" s="19"/>
      <c r="E945" s="19"/>
      <c r="F945" s="19"/>
    </row>
    <row r="946" ht="15.75" customHeight="1">
      <c r="A946" s="19"/>
      <c r="B946" s="19"/>
      <c r="C946" s="19"/>
      <c r="D946" s="19"/>
      <c r="E946" s="19"/>
      <c r="F946" s="19"/>
    </row>
    <row r="947" ht="15.75" customHeight="1">
      <c r="A947" s="19"/>
      <c r="B947" s="19"/>
      <c r="C947" s="19"/>
      <c r="D947" s="19"/>
      <c r="E947" s="19"/>
      <c r="F947" s="19"/>
    </row>
    <row r="948" ht="15.75" customHeight="1">
      <c r="A948" s="19"/>
      <c r="B948" s="19"/>
      <c r="C948" s="19"/>
      <c r="D948" s="19"/>
      <c r="E948" s="19"/>
      <c r="F948" s="19"/>
    </row>
    <row r="949" ht="15.75" customHeight="1">
      <c r="A949" s="19"/>
      <c r="B949" s="19"/>
      <c r="C949" s="19"/>
      <c r="D949" s="19"/>
      <c r="E949" s="19"/>
      <c r="F949" s="19"/>
    </row>
    <row r="950" ht="15.75" customHeight="1">
      <c r="A950" s="19"/>
      <c r="B950" s="19"/>
      <c r="C950" s="19"/>
      <c r="D950" s="19"/>
      <c r="E950" s="19"/>
      <c r="F950" s="19"/>
    </row>
    <row r="951" ht="15.75" customHeight="1">
      <c r="A951" s="19"/>
      <c r="B951" s="19"/>
      <c r="C951" s="19"/>
      <c r="D951" s="19"/>
      <c r="E951" s="19"/>
      <c r="F951" s="19"/>
    </row>
    <row r="952" ht="15.75" customHeight="1">
      <c r="A952" s="19"/>
      <c r="B952" s="19"/>
      <c r="C952" s="19"/>
      <c r="D952" s="19"/>
      <c r="E952" s="19"/>
      <c r="F952" s="19"/>
    </row>
    <row r="953" ht="15.75" customHeight="1">
      <c r="A953" s="19"/>
      <c r="B953" s="19"/>
      <c r="C953" s="19"/>
      <c r="D953" s="19"/>
      <c r="E953" s="19"/>
      <c r="F953" s="19"/>
    </row>
    <row r="954" ht="15.75" customHeight="1">
      <c r="A954" s="19"/>
      <c r="B954" s="19"/>
      <c r="C954" s="19"/>
      <c r="D954" s="19"/>
      <c r="E954" s="19"/>
      <c r="F954" s="19"/>
    </row>
    <row r="955" ht="15.75" customHeight="1">
      <c r="A955" s="19"/>
      <c r="B955" s="19"/>
      <c r="C955" s="19"/>
      <c r="D955" s="19"/>
      <c r="E955" s="19"/>
      <c r="F955" s="19"/>
    </row>
    <row r="956" ht="15.75" customHeight="1">
      <c r="A956" s="19"/>
      <c r="B956" s="19"/>
      <c r="C956" s="19"/>
      <c r="D956" s="19"/>
      <c r="E956" s="19"/>
      <c r="F956" s="19"/>
    </row>
    <row r="957" ht="15.75" customHeight="1">
      <c r="A957" s="19"/>
      <c r="B957" s="19"/>
      <c r="C957" s="19"/>
      <c r="D957" s="19"/>
      <c r="E957" s="19"/>
      <c r="F957" s="19"/>
    </row>
    <row r="958" ht="15.75" customHeight="1">
      <c r="A958" s="19"/>
      <c r="B958" s="19"/>
      <c r="C958" s="19"/>
      <c r="D958" s="19"/>
      <c r="E958" s="19"/>
      <c r="F958" s="19"/>
    </row>
    <row r="959" ht="15.75" customHeight="1">
      <c r="A959" s="19"/>
      <c r="B959" s="19"/>
      <c r="C959" s="19"/>
      <c r="D959" s="19"/>
      <c r="E959" s="19"/>
      <c r="F959" s="19"/>
    </row>
    <row r="960" ht="15.75" customHeight="1">
      <c r="A960" s="19"/>
      <c r="B960" s="19"/>
      <c r="C960" s="19"/>
      <c r="D960" s="19"/>
      <c r="E960" s="19"/>
      <c r="F960" s="19"/>
    </row>
    <row r="961" ht="15.75" customHeight="1">
      <c r="A961" s="19"/>
      <c r="B961" s="19"/>
      <c r="C961" s="19"/>
      <c r="D961" s="19"/>
      <c r="E961" s="19"/>
      <c r="F961" s="19"/>
    </row>
    <row r="962" ht="15.75" customHeight="1">
      <c r="A962" s="19"/>
      <c r="B962" s="19"/>
      <c r="C962" s="19"/>
      <c r="D962" s="19"/>
      <c r="E962" s="19"/>
      <c r="F962" s="19"/>
    </row>
    <row r="963" ht="15.75" customHeight="1">
      <c r="A963" s="19"/>
      <c r="B963" s="19"/>
      <c r="C963" s="19"/>
      <c r="D963" s="19"/>
      <c r="E963" s="19"/>
      <c r="F963" s="19"/>
    </row>
    <row r="964" ht="15.75" customHeight="1">
      <c r="A964" s="19"/>
      <c r="B964" s="19"/>
      <c r="C964" s="19"/>
      <c r="D964" s="19"/>
      <c r="E964" s="19"/>
      <c r="F964" s="19"/>
    </row>
    <row r="965" ht="15.75" customHeight="1">
      <c r="A965" s="19"/>
      <c r="B965" s="19"/>
      <c r="C965" s="19"/>
      <c r="D965" s="19"/>
      <c r="E965" s="19"/>
      <c r="F965" s="19"/>
    </row>
    <row r="966" ht="15.75" customHeight="1">
      <c r="A966" s="19"/>
      <c r="B966" s="19"/>
      <c r="C966" s="19"/>
      <c r="D966" s="19"/>
      <c r="E966" s="19"/>
      <c r="F966" s="19"/>
    </row>
    <row r="967" ht="15.75" customHeight="1">
      <c r="A967" s="19"/>
      <c r="B967" s="19"/>
      <c r="C967" s="19"/>
      <c r="D967" s="19"/>
      <c r="E967" s="19"/>
      <c r="F967" s="19"/>
    </row>
    <row r="968" ht="15.75" customHeight="1">
      <c r="A968" s="19"/>
      <c r="B968" s="19"/>
      <c r="C968" s="19"/>
      <c r="D968" s="19"/>
      <c r="E968" s="19"/>
      <c r="F968" s="19"/>
    </row>
    <row r="969" ht="15.75" customHeight="1">
      <c r="A969" s="19"/>
      <c r="B969" s="19"/>
      <c r="C969" s="19"/>
      <c r="D969" s="19"/>
      <c r="E969" s="19"/>
      <c r="F969" s="19"/>
    </row>
    <row r="970" ht="15.75" customHeight="1">
      <c r="A970" s="19"/>
      <c r="B970" s="19"/>
      <c r="C970" s="19"/>
      <c r="D970" s="19"/>
      <c r="E970" s="19"/>
      <c r="F970" s="19"/>
    </row>
    <row r="971" ht="15.75" customHeight="1">
      <c r="A971" s="19"/>
      <c r="B971" s="19"/>
      <c r="C971" s="19"/>
      <c r="D971" s="19"/>
      <c r="E971" s="19"/>
      <c r="F971" s="19"/>
    </row>
    <row r="972" ht="15.75" customHeight="1">
      <c r="A972" s="19"/>
      <c r="B972" s="19"/>
      <c r="C972" s="19"/>
      <c r="D972" s="19"/>
      <c r="E972" s="19"/>
      <c r="F972" s="19"/>
    </row>
    <row r="973" ht="15.75" customHeight="1">
      <c r="A973" s="19"/>
      <c r="B973" s="19"/>
      <c r="C973" s="19"/>
      <c r="D973" s="19"/>
      <c r="E973" s="19"/>
      <c r="F973" s="19"/>
    </row>
    <row r="974" ht="15.75" customHeight="1">
      <c r="A974" s="19"/>
      <c r="B974" s="19"/>
      <c r="C974" s="19"/>
      <c r="D974" s="19"/>
      <c r="E974" s="19"/>
      <c r="F974" s="19"/>
    </row>
    <row r="975" ht="15.75" customHeight="1">
      <c r="A975" s="19"/>
      <c r="B975" s="19"/>
      <c r="C975" s="19"/>
      <c r="D975" s="19"/>
      <c r="E975" s="19"/>
      <c r="F975" s="19"/>
    </row>
    <row r="976" ht="15.75" customHeight="1">
      <c r="A976" s="19"/>
      <c r="B976" s="19"/>
      <c r="C976" s="19"/>
      <c r="D976" s="19"/>
      <c r="E976" s="19"/>
      <c r="F976" s="19"/>
    </row>
    <row r="977" ht="15.75" customHeight="1">
      <c r="A977" s="19"/>
      <c r="B977" s="19"/>
      <c r="C977" s="19"/>
      <c r="D977" s="19"/>
      <c r="E977" s="19"/>
      <c r="F977" s="19"/>
    </row>
    <row r="978" ht="15.75" customHeight="1">
      <c r="A978" s="19"/>
      <c r="B978" s="19"/>
      <c r="C978" s="19"/>
      <c r="D978" s="19"/>
      <c r="E978" s="19"/>
      <c r="F978" s="19"/>
    </row>
    <row r="979" ht="15.75" customHeight="1">
      <c r="A979" s="19"/>
      <c r="B979" s="19"/>
      <c r="C979" s="19"/>
      <c r="D979" s="19"/>
      <c r="E979" s="19"/>
      <c r="F979" s="19"/>
    </row>
    <row r="980" ht="15.75" customHeight="1">
      <c r="A980" s="19"/>
      <c r="B980" s="19"/>
      <c r="C980" s="19"/>
      <c r="D980" s="19"/>
      <c r="E980" s="19"/>
      <c r="F980" s="19"/>
    </row>
    <row r="981" ht="15.75" customHeight="1">
      <c r="A981" s="19"/>
      <c r="B981" s="19"/>
      <c r="C981" s="19"/>
      <c r="D981" s="19"/>
      <c r="E981" s="19"/>
      <c r="F981" s="19"/>
    </row>
    <row r="982" ht="15.75" customHeight="1">
      <c r="A982" s="19"/>
      <c r="B982" s="19"/>
      <c r="C982" s="19"/>
      <c r="D982" s="19"/>
      <c r="E982" s="19"/>
      <c r="F982" s="19"/>
    </row>
    <row r="983" ht="15.75" customHeight="1">
      <c r="A983" s="19"/>
      <c r="B983" s="19"/>
      <c r="C983" s="19"/>
      <c r="D983" s="19"/>
      <c r="E983" s="19"/>
      <c r="F983" s="19"/>
    </row>
    <row r="984" ht="15.75" customHeight="1">
      <c r="A984" s="19"/>
      <c r="B984" s="19"/>
      <c r="C984" s="19"/>
      <c r="D984" s="19"/>
      <c r="E984" s="19"/>
      <c r="F984" s="19"/>
    </row>
    <row r="985" ht="15.75" customHeight="1">
      <c r="A985" s="19"/>
      <c r="B985" s="19"/>
      <c r="C985" s="19"/>
      <c r="D985" s="19"/>
      <c r="E985" s="19"/>
      <c r="F985" s="19"/>
    </row>
    <row r="986" ht="15.75" customHeight="1">
      <c r="A986" s="19"/>
      <c r="B986" s="19"/>
      <c r="C986" s="19"/>
      <c r="D986" s="19"/>
      <c r="E986" s="19"/>
      <c r="F986" s="19"/>
    </row>
    <row r="987" ht="15.75" customHeight="1">
      <c r="A987" s="19"/>
      <c r="B987" s="19"/>
      <c r="C987" s="19"/>
      <c r="D987" s="19"/>
      <c r="E987" s="19"/>
      <c r="F987" s="19"/>
    </row>
    <row r="988" ht="15.75" customHeight="1">
      <c r="A988" s="19"/>
      <c r="B988" s="19"/>
      <c r="C988" s="19"/>
      <c r="D988" s="19"/>
      <c r="E988" s="19"/>
      <c r="F988" s="19"/>
    </row>
    <row r="989" ht="15.75" customHeight="1">
      <c r="A989" s="19"/>
      <c r="B989" s="19"/>
      <c r="C989" s="19"/>
      <c r="D989" s="19"/>
      <c r="E989" s="19"/>
      <c r="F989" s="19"/>
    </row>
    <row r="990" ht="15.75" customHeight="1">
      <c r="A990" s="19"/>
      <c r="B990" s="19"/>
      <c r="C990" s="19"/>
      <c r="D990" s="19"/>
      <c r="E990" s="19"/>
      <c r="F990" s="19"/>
    </row>
    <row r="991" ht="15.75" customHeight="1">
      <c r="A991" s="19"/>
      <c r="B991" s="19"/>
      <c r="C991" s="19"/>
      <c r="D991" s="19"/>
      <c r="E991" s="19"/>
      <c r="F991" s="19"/>
    </row>
    <row r="992" ht="15.75" customHeight="1">
      <c r="A992" s="19"/>
      <c r="B992" s="19"/>
      <c r="C992" s="19"/>
      <c r="D992" s="19"/>
      <c r="E992" s="19"/>
      <c r="F992" s="19"/>
    </row>
    <row r="993" ht="15.75" customHeight="1">
      <c r="A993" s="19"/>
      <c r="B993" s="19"/>
      <c r="C993" s="19"/>
      <c r="D993" s="19"/>
      <c r="E993" s="19"/>
      <c r="F993" s="19"/>
    </row>
    <row r="994" ht="15.75" customHeight="1">
      <c r="A994" s="19"/>
      <c r="B994" s="19"/>
      <c r="C994" s="19"/>
      <c r="D994" s="19"/>
      <c r="E994" s="19"/>
      <c r="F994" s="19"/>
    </row>
    <row r="995" ht="15.75" customHeight="1">
      <c r="A995" s="19"/>
      <c r="B995" s="19"/>
      <c r="C995" s="19"/>
      <c r="D995" s="19"/>
      <c r="E995" s="19"/>
      <c r="F995" s="19"/>
    </row>
    <row r="996" ht="15.75" customHeight="1">
      <c r="A996" s="19"/>
      <c r="B996" s="19"/>
      <c r="C996" s="19"/>
      <c r="D996" s="19"/>
      <c r="E996" s="19"/>
      <c r="F996" s="19"/>
    </row>
    <row r="997" ht="15.75" customHeight="1">
      <c r="A997" s="19"/>
      <c r="B997" s="19"/>
      <c r="C997" s="19"/>
      <c r="D997" s="19"/>
      <c r="E997" s="19"/>
      <c r="F997" s="19"/>
    </row>
    <row r="998" ht="15.75" customHeight="1">
      <c r="A998" s="19"/>
      <c r="B998" s="19"/>
      <c r="C998" s="19"/>
      <c r="D998" s="19"/>
      <c r="E998" s="19"/>
      <c r="F998" s="19"/>
    </row>
    <row r="999" ht="15.75" customHeight="1">
      <c r="A999" s="19"/>
      <c r="B999" s="19"/>
      <c r="C999" s="19"/>
      <c r="D999" s="19"/>
      <c r="E999" s="19"/>
      <c r="F999" s="19"/>
    </row>
    <row r="1000" ht="15.75" customHeight="1">
      <c r="A1000" s="19"/>
      <c r="B1000" s="19"/>
      <c r="C1000" s="19"/>
      <c r="D1000" s="19"/>
      <c r="E1000" s="19"/>
      <c r="F1000" s="19"/>
    </row>
  </sheetData>
  <mergeCells count="1">
    <mergeCell ref="A1:E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3" width="35.0"/>
    <col customWidth="1" min="4" max="4" width="22.0"/>
    <col customWidth="1" min="5" max="6" width="45.0"/>
  </cols>
  <sheetData>
    <row r="1" ht="17.25" customHeight="1">
      <c r="A1" s="20" t="s">
        <v>2645</v>
      </c>
      <c r="B1" s="21"/>
      <c r="C1" s="21"/>
      <c r="D1" s="21"/>
      <c r="E1" s="21"/>
      <c r="F1" s="22"/>
    </row>
    <row r="2">
      <c r="A2" s="19"/>
      <c r="B2" s="19"/>
      <c r="C2" s="19"/>
      <c r="D2" s="19"/>
      <c r="E2" s="19"/>
      <c r="F2" s="19"/>
    </row>
    <row r="3" ht="15.0" customHeight="1">
      <c r="A3" s="23" t="s">
        <v>2646</v>
      </c>
      <c r="B3" s="23" t="s">
        <v>2647</v>
      </c>
      <c r="C3" s="23" t="s">
        <v>2648</v>
      </c>
      <c r="D3" s="23" t="s">
        <v>2649</v>
      </c>
      <c r="E3" s="23" t="s">
        <v>2650</v>
      </c>
      <c r="F3" s="23" t="s">
        <v>2651</v>
      </c>
    </row>
    <row r="4" ht="45.0" customHeight="1">
      <c r="A4" s="15" t="s">
        <v>2652</v>
      </c>
      <c r="B4" s="15" t="s">
        <v>2653</v>
      </c>
      <c r="C4" s="15" t="s">
        <v>2654</v>
      </c>
      <c r="D4" s="15" t="s">
        <v>45</v>
      </c>
      <c r="E4" s="15" t="s">
        <v>2655</v>
      </c>
      <c r="F4" s="15" t="s">
        <v>2656</v>
      </c>
    </row>
    <row r="5" ht="45.0" customHeight="1">
      <c r="A5" s="15" t="s">
        <v>2657</v>
      </c>
      <c r="B5" s="15" t="s">
        <v>2658</v>
      </c>
      <c r="C5" s="15" t="s">
        <v>2659</v>
      </c>
      <c r="D5" s="15" t="s">
        <v>45</v>
      </c>
      <c r="E5" s="15" t="s">
        <v>2660</v>
      </c>
      <c r="F5" s="15" t="s">
        <v>2661</v>
      </c>
    </row>
    <row r="6" ht="45.0" customHeight="1">
      <c r="A6" s="15" t="s">
        <v>2662</v>
      </c>
      <c r="B6" s="15" t="s">
        <v>2663</v>
      </c>
      <c r="C6" s="15" t="s">
        <v>2664</v>
      </c>
      <c r="D6" s="15" t="s">
        <v>140</v>
      </c>
      <c r="E6" s="15" t="s">
        <v>2665</v>
      </c>
      <c r="F6" s="15" t="s">
        <v>2666</v>
      </c>
    </row>
    <row r="7" ht="45.0" customHeight="1">
      <c r="A7" s="15" t="s">
        <v>2667</v>
      </c>
      <c r="B7" s="15" t="s">
        <v>2668</v>
      </c>
      <c r="C7" s="15" t="s">
        <v>2669</v>
      </c>
      <c r="D7" s="15" t="s">
        <v>45</v>
      </c>
      <c r="E7" s="15" t="s">
        <v>2670</v>
      </c>
      <c r="F7" s="15" t="s">
        <v>2671</v>
      </c>
    </row>
    <row r="8" ht="45.0" customHeight="1">
      <c r="A8" s="15" t="s">
        <v>2672</v>
      </c>
      <c r="B8" s="15" t="s">
        <v>2673</v>
      </c>
      <c r="C8" s="15" t="s">
        <v>2674</v>
      </c>
      <c r="D8" s="15" t="s">
        <v>45</v>
      </c>
      <c r="E8" s="15" t="s">
        <v>2675</v>
      </c>
      <c r="F8" s="15" t="s">
        <v>2676</v>
      </c>
    </row>
    <row r="9" ht="45.0" customHeight="1">
      <c r="A9" s="15" t="s">
        <v>2677</v>
      </c>
      <c r="B9" s="15" t="s">
        <v>2678</v>
      </c>
      <c r="C9" s="15" t="s">
        <v>2679</v>
      </c>
      <c r="D9" s="15" t="s">
        <v>45</v>
      </c>
      <c r="E9" s="15" t="s">
        <v>2680</v>
      </c>
      <c r="F9" s="15" t="s">
        <v>2681</v>
      </c>
    </row>
    <row r="10" ht="45.0" customHeight="1">
      <c r="A10" s="15" t="s">
        <v>2682</v>
      </c>
      <c r="B10" s="15" t="s">
        <v>2683</v>
      </c>
      <c r="C10" s="15" t="s">
        <v>2684</v>
      </c>
      <c r="D10" s="15" t="s">
        <v>45</v>
      </c>
      <c r="E10" s="15" t="s">
        <v>2685</v>
      </c>
      <c r="F10" s="15" t="s">
        <v>2686</v>
      </c>
    </row>
    <row r="11" ht="45.0" customHeight="1">
      <c r="A11" s="15" t="s">
        <v>2687</v>
      </c>
      <c r="B11" s="15" t="s">
        <v>2688</v>
      </c>
      <c r="C11" s="15" t="s">
        <v>223</v>
      </c>
      <c r="D11" s="15" t="s">
        <v>45</v>
      </c>
      <c r="E11" s="15" t="s">
        <v>2689</v>
      </c>
      <c r="F11" s="15" t="s">
        <v>2690</v>
      </c>
    </row>
    <row r="12" ht="45.0" customHeight="1">
      <c r="A12" s="15" t="s">
        <v>2691</v>
      </c>
      <c r="B12" s="15" t="s">
        <v>2692</v>
      </c>
      <c r="C12" s="15" t="s">
        <v>2693</v>
      </c>
      <c r="D12" s="15" t="s">
        <v>45</v>
      </c>
      <c r="E12" s="15" t="s">
        <v>2694</v>
      </c>
      <c r="F12" s="15" t="s">
        <v>2695</v>
      </c>
    </row>
    <row r="13" ht="45.0" customHeight="1">
      <c r="A13" s="15" t="s">
        <v>2696</v>
      </c>
      <c r="B13" s="15" t="s">
        <v>2697</v>
      </c>
      <c r="C13" s="15" t="s">
        <v>2698</v>
      </c>
      <c r="D13" s="15" t="s">
        <v>45</v>
      </c>
      <c r="E13" s="15" t="s">
        <v>2699</v>
      </c>
      <c r="F13" s="15" t="s">
        <v>2700</v>
      </c>
    </row>
    <row r="14" ht="45.0" customHeight="1">
      <c r="A14" s="15" t="s">
        <v>2701</v>
      </c>
      <c r="B14" s="15" t="s">
        <v>2702</v>
      </c>
      <c r="C14" s="15" t="s">
        <v>2703</v>
      </c>
      <c r="D14" s="15" t="s">
        <v>45</v>
      </c>
      <c r="E14" s="15" t="s">
        <v>2704</v>
      </c>
      <c r="F14" s="15" t="s">
        <v>2705</v>
      </c>
    </row>
    <row r="15" ht="45.0" customHeight="1">
      <c r="A15" s="15" t="s">
        <v>2706</v>
      </c>
      <c r="B15" s="15" t="s">
        <v>2707</v>
      </c>
      <c r="C15" s="15" t="s">
        <v>2669</v>
      </c>
      <c r="D15" s="15" t="s">
        <v>45</v>
      </c>
      <c r="E15" s="15" t="s">
        <v>2708</v>
      </c>
      <c r="F15" s="15" t="s">
        <v>2709</v>
      </c>
    </row>
    <row r="16" ht="45.0" customHeight="1">
      <c r="A16" s="15" t="s">
        <v>2710</v>
      </c>
      <c r="B16" s="15" t="s">
        <v>2711</v>
      </c>
      <c r="C16" s="15" t="s">
        <v>2712</v>
      </c>
      <c r="D16" s="15" t="s">
        <v>45</v>
      </c>
      <c r="E16" s="15" t="s">
        <v>2713</v>
      </c>
      <c r="F16" s="15" t="s">
        <v>2714</v>
      </c>
    </row>
    <row r="17" ht="45.0" customHeight="1">
      <c r="A17" s="15" t="s">
        <v>2715</v>
      </c>
      <c r="B17" s="15" t="s">
        <v>2716</v>
      </c>
      <c r="C17" s="15" t="s">
        <v>2669</v>
      </c>
      <c r="D17" s="15" t="s">
        <v>45</v>
      </c>
      <c r="E17" s="15" t="s">
        <v>2717</v>
      </c>
      <c r="F17" s="15" t="s">
        <v>2718</v>
      </c>
    </row>
    <row r="18" ht="45.0" customHeight="1">
      <c r="A18" s="15" t="s">
        <v>2719</v>
      </c>
      <c r="B18" s="15" t="s">
        <v>2720</v>
      </c>
      <c r="C18" s="15" t="s">
        <v>2669</v>
      </c>
      <c r="D18" s="15" t="s">
        <v>45</v>
      </c>
      <c r="E18" s="15" t="s">
        <v>2721</v>
      </c>
      <c r="F18" s="15" t="s">
        <v>2722</v>
      </c>
    </row>
    <row r="19" ht="45.0" customHeight="1">
      <c r="A19" s="15" t="s">
        <v>2723</v>
      </c>
      <c r="B19" s="15" t="s">
        <v>2724</v>
      </c>
      <c r="C19" s="15" t="s">
        <v>2725</v>
      </c>
      <c r="D19" s="15" t="s">
        <v>45</v>
      </c>
      <c r="E19" s="15" t="s">
        <v>2726</v>
      </c>
      <c r="F19" s="15" t="s">
        <v>2727</v>
      </c>
    </row>
    <row r="20" ht="45.0" customHeight="1">
      <c r="A20" s="15" t="s">
        <v>2728</v>
      </c>
      <c r="B20" s="15" t="s">
        <v>2729</v>
      </c>
      <c r="C20" s="15" t="s">
        <v>2730</v>
      </c>
      <c r="D20" s="15" t="s">
        <v>45</v>
      </c>
      <c r="E20" s="15" t="s">
        <v>2731</v>
      </c>
      <c r="F20" s="15" t="s">
        <v>2732</v>
      </c>
    </row>
    <row r="21" ht="45.0" customHeight="1">
      <c r="A21" s="15" t="s">
        <v>2733</v>
      </c>
      <c r="B21" s="15" t="s">
        <v>2734</v>
      </c>
      <c r="C21" s="15" t="s">
        <v>2669</v>
      </c>
      <c r="D21" s="15" t="s">
        <v>45</v>
      </c>
      <c r="E21" s="15" t="s">
        <v>2735</v>
      </c>
      <c r="F21" s="15" t="s">
        <v>2736</v>
      </c>
    </row>
    <row r="22" ht="45.0" customHeight="1">
      <c r="A22" s="15" t="s">
        <v>2737</v>
      </c>
      <c r="B22" s="15" t="s">
        <v>2738</v>
      </c>
      <c r="C22" s="15" t="s">
        <v>2739</v>
      </c>
      <c r="D22" s="15" t="s">
        <v>45</v>
      </c>
      <c r="E22" s="15" t="s">
        <v>2740</v>
      </c>
      <c r="F22" s="15" t="s">
        <v>2741</v>
      </c>
    </row>
    <row r="23" ht="45.0" customHeight="1">
      <c r="A23" s="15" t="s">
        <v>2742</v>
      </c>
      <c r="B23" s="15" t="s">
        <v>2743</v>
      </c>
      <c r="C23" s="15" t="s">
        <v>2744</v>
      </c>
      <c r="D23" s="15" t="s">
        <v>45</v>
      </c>
      <c r="E23" s="15" t="s">
        <v>2745</v>
      </c>
      <c r="F23" s="15" t="s">
        <v>2746</v>
      </c>
    </row>
    <row r="24" ht="45.0" customHeight="1">
      <c r="A24" s="15" t="s">
        <v>2747</v>
      </c>
      <c r="B24" s="15" t="s">
        <v>2748</v>
      </c>
      <c r="C24" s="15" t="s">
        <v>2749</v>
      </c>
      <c r="D24" s="15" t="s">
        <v>45</v>
      </c>
      <c r="E24" s="15" t="s">
        <v>2750</v>
      </c>
      <c r="F24" s="15" t="s">
        <v>2751</v>
      </c>
    </row>
    <row r="25" ht="45.0" customHeight="1">
      <c r="A25" s="15" t="s">
        <v>2752</v>
      </c>
      <c r="B25" s="15" t="s">
        <v>2753</v>
      </c>
      <c r="C25" s="15" t="s">
        <v>2754</v>
      </c>
      <c r="D25" s="15" t="s">
        <v>45</v>
      </c>
      <c r="E25" s="15" t="s">
        <v>2755</v>
      </c>
      <c r="F25" s="15" t="s">
        <v>2756</v>
      </c>
    </row>
    <row r="26" ht="45.0" customHeight="1">
      <c r="A26" s="15" t="s">
        <v>2757</v>
      </c>
      <c r="B26" s="15" t="s">
        <v>2758</v>
      </c>
      <c r="C26" s="15" t="s">
        <v>470</v>
      </c>
      <c r="D26" s="15" t="s">
        <v>45</v>
      </c>
      <c r="E26" s="15" t="s">
        <v>2759</v>
      </c>
      <c r="F26" s="15" t="s">
        <v>2760</v>
      </c>
    </row>
    <row r="27" ht="45.0" customHeight="1">
      <c r="A27" s="15" t="s">
        <v>2761</v>
      </c>
      <c r="B27" s="15" t="s">
        <v>2762</v>
      </c>
      <c r="C27" s="15" t="s">
        <v>486</v>
      </c>
      <c r="D27" s="15" t="s">
        <v>45</v>
      </c>
      <c r="E27" s="15" t="s">
        <v>2763</v>
      </c>
      <c r="F27" s="15" t="s">
        <v>2764</v>
      </c>
    </row>
    <row r="28" ht="45.0" customHeight="1">
      <c r="A28" s="15" t="s">
        <v>2765</v>
      </c>
      <c r="B28" s="15" t="s">
        <v>2766</v>
      </c>
      <c r="C28" s="15" t="s">
        <v>2767</v>
      </c>
      <c r="D28" s="15" t="s">
        <v>45</v>
      </c>
      <c r="E28" s="15" t="s">
        <v>2768</v>
      </c>
      <c r="F28" s="15" t="s">
        <v>2769</v>
      </c>
    </row>
    <row r="29" ht="45.0" customHeight="1">
      <c r="A29" s="15" t="s">
        <v>2770</v>
      </c>
      <c r="B29" s="15" t="s">
        <v>2771</v>
      </c>
      <c r="C29" s="15" t="s">
        <v>2772</v>
      </c>
      <c r="D29" s="15" t="s">
        <v>45</v>
      </c>
      <c r="E29" s="15" t="s">
        <v>2773</v>
      </c>
      <c r="F29" s="15" t="s">
        <v>2774</v>
      </c>
    </row>
    <row r="30" ht="45.0" customHeight="1">
      <c r="A30" s="15" t="s">
        <v>2775</v>
      </c>
      <c r="B30" s="15" t="s">
        <v>2776</v>
      </c>
      <c r="C30" s="15" t="s">
        <v>2777</v>
      </c>
      <c r="D30" s="15" t="s">
        <v>45</v>
      </c>
      <c r="E30" s="15" t="s">
        <v>2778</v>
      </c>
      <c r="F30" s="15" t="s">
        <v>2779</v>
      </c>
    </row>
    <row r="31" ht="45.0" customHeight="1">
      <c r="A31" s="15" t="s">
        <v>2780</v>
      </c>
      <c r="B31" s="15" t="s">
        <v>2781</v>
      </c>
      <c r="C31" s="15" t="s">
        <v>879</v>
      </c>
      <c r="D31" s="15" t="s">
        <v>45</v>
      </c>
      <c r="E31" s="15" t="s">
        <v>2782</v>
      </c>
      <c r="F31" s="15" t="s">
        <v>2783</v>
      </c>
    </row>
    <row r="32" ht="45.0" customHeight="1">
      <c r="A32" s="15" t="s">
        <v>2784</v>
      </c>
      <c r="B32" s="15" t="s">
        <v>2785</v>
      </c>
      <c r="C32" s="15" t="s">
        <v>2669</v>
      </c>
      <c r="D32" s="15" t="s">
        <v>45</v>
      </c>
      <c r="E32" s="15" t="s">
        <v>2786</v>
      </c>
      <c r="F32" s="15" t="s">
        <v>2787</v>
      </c>
    </row>
    <row r="33" ht="45.0" customHeight="1">
      <c r="A33" s="15" t="s">
        <v>2788</v>
      </c>
      <c r="B33" s="15" t="s">
        <v>2789</v>
      </c>
      <c r="C33" s="15" t="s">
        <v>2790</v>
      </c>
      <c r="D33" s="15" t="s">
        <v>45</v>
      </c>
      <c r="E33" s="15" t="s">
        <v>2791</v>
      </c>
      <c r="F33" s="15" t="s">
        <v>2792</v>
      </c>
    </row>
    <row r="34" ht="45.0" customHeight="1">
      <c r="A34" s="15" t="s">
        <v>2793</v>
      </c>
      <c r="B34" s="15" t="s">
        <v>2794</v>
      </c>
      <c r="C34" s="15" t="s">
        <v>2795</v>
      </c>
      <c r="D34" s="15" t="s">
        <v>45</v>
      </c>
      <c r="E34" s="15" t="s">
        <v>2796</v>
      </c>
      <c r="F34" s="15" t="s">
        <v>2797</v>
      </c>
    </row>
    <row r="35" ht="45.0" customHeight="1">
      <c r="A35" s="15" t="s">
        <v>2798</v>
      </c>
      <c r="B35" s="15" t="s">
        <v>2799</v>
      </c>
      <c r="C35" s="15" t="s">
        <v>2800</v>
      </c>
      <c r="D35" s="15" t="s">
        <v>45</v>
      </c>
      <c r="E35" s="15" t="s">
        <v>2801</v>
      </c>
      <c r="F35" s="15" t="s">
        <v>2802</v>
      </c>
    </row>
    <row r="36" ht="45.0" customHeight="1">
      <c r="A36" s="15" t="s">
        <v>2803</v>
      </c>
      <c r="B36" s="15" t="s">
        <v>2804</v>
      </c>
      <c r="C36" s="15" t="s">
        <v>2805</v>
      </c>
      <c r="D36" s="15" t="s">
        <v>45</v>
      </c>
      <c r="E36" s="15" t="s">
        <v>2806</v>
      </c>
      <c r="F36" s="15" t="s">
        <v>2807</v>
      </c>
    </row>
    <row r="37" ht="45.0" customHeight="1">
      <c r="A37" s="15" t="s">
        <v>2808</v>
      </c>
      <c r="B37" s="15" t="s">
        <v>2809</v>
      </c>
      <c r="C37" s="15" t="s">
        <v>2810</v>
      </c>
      <c r="D37" s="15" t="s">
        <v>45</v>
      </c>
      <c r="E37" s="15" t="s">
        <v>2811</v>
      </c>
      <c r="F37" s="15" t="s">
        <v>2812</v>
      </c>
    </row>
    <row r="38" ht="45.0" customHeight="1">
      <c r="A38" s="15" t="s">
        <v>2813</v>
      </c>
      <c r="B38" s="15" t="s">
        <v>2814</v>
      </c>
      <c r="C38" s="15" t="s">
        <v>2669</v>
      </c>
      <c r="D38" s="15" t="s">
        <v>45</v>
      </c>
      <c r="E38" s="15" t="s">
        <v>2815</v>
      </c>
      <c r="F38" s="15" t="s">
        <v>2816</v>
      </c>
    </row>
    <row r="39" ht="45.0" customHeight="1">
      <c r="A39" s="15" t="s">
        <v>2817</v>
      </c>
      <c r="B39" s="15" t="s">
        <v>2818</v>
      </c>
      <c r="C39" s="15" t="s">
        <v>2819</v>
      </c>
      <c r="D39" s="15" t="s">
        <v>45</v>
      </c>
      <c r="E39" s="15" t="s">
        <v>2820</v>
      </c>
      <c r="F39" s="15" t="s">
        <v>2797</v>
      </c>
    </row>
    <row r="40" ht="45.0" customHeight="1">
      <c r="A40" s="15" t="s">
        <v>2821</v>
      </c>
      <c r="B40" s="15" t="s">
        <v>2822</v>
      </c>
      <c r="C40" s="15" t="s">
        <v>2823</v>
      </c>
      <c r="D40" s="15" t="s">
        <v>45</v>
      </c>
      <c r="E40" s="15" t="s">
        <v>2824</v>
      </c>
      <c r="F40" s="15" t="s">
        <v>2825</v>
      </c>
    </row>
    <row r="41" ht="45.0" customHeight="1">
      <c r="A41" s="15" t="s">
        <v>2826</v>
      </c>
      <c r="B41" s="15" t="s">
        <v>2827</v>
      </c>
      <c r="C41" s="15" t="s">
        <v>2828</v>
      </c>
      <c r="D41" s="15" t="s">
        <v>45</v>
      </c>
      <c r="E41" s="15" t="s">
        <v>2829</v>
      </c>
      <c r="F41" s="15" t="s">
        <v>2830</v>
      </c>
    </row>
    <row r="42" ht="45.0" customHeight="1">
      <c r="A42" s="15" t="s">
        <v>2831</v>
      </c>
      <c r="B42" s="15" t="s">
        <v>2832</v>
      </c>
      <c r="C42" s="15" t="s">
        <v>2833</v>
      </c>
      <c r="D42" s="15" t="s">
        <v>45</v>
      </c>
      <c r="E42" s="15" t="s">
        <v>2834</v>
      </c>
      <c r="F42" s="15" t="s">
        <v>2835</v>
      </c>
    </row>
    <row r="43" ht="45.0" customHeight="1">
      <c r="A43" s="15" t="s">
        <v>2836</v>
      </c>
      <c r="B43" s="15" t="s">
        <v>2837</v>
      </c>
      <c r="C43" s="15" t="s">
        <v>2838</v>
      </c>
      <c r="D43" s="15" t="s">
        <v>45</v>
      </c>
      <c r="E43" s="15" t="s">
        <v>2839</v>
      </c>
      <c r="F43" s="15" t="s">
        <v>2840</v>
      </c>
    </row>
    <row r="44" ht="45.0" customHeight="1">
      <c r="A44" s="15" t="s">
        <v>2841</v>
      </c>
      <c r="B44" s="15" t="s">
        <v>2842</v>
      </c>
      <c r="C44" s="15" t="s">
        <v>731</v>
      </c>
      <c r="D44" s="15" t="s">
        <v>45</v>
      </c>
      <c r="E44" s="15" t="s">
        <v>2843</v>
      </c>
      <c r="F44" s="15" t="s">
        <v>2844</v>
      </c>
    </row>
    <row r="45" ht="45.0" customHeight="1">
      <c r="A45" s="15" t="s">
        <v>2845</v>
      </c>
      <c r="B45" s="15" t="s">
        <v>2846</v>
      </c>
      <c r="C45" s="15" t="s">
        <v>2847</v>
      </c>
      <c r="D45" s="15" t="s">
        <v>45</v>
      </c>
      <c r="E45" s="15" t="s">
        <v>2848</v>
      </c>
      <c r="F45" s="15" t="s">
        <v>2849</v>
      </c>
    </row>
    <row r="46" ht="45.0" customHeight="1">
      <c r="A46" s="15" t="s">
        <v>2850</v>
      </c>
      <c r="B46" s="15" t="s">
        <v>2851</v>
      </c>
      <c r="C46" s="15" t="s">
        <v>2852</v>
      </c>
      <c r="D46" s="15" t="s">
        <v>45</v>
      </c>
      <c r="E46" s="15" t="s">
        <v>2853</v>
      </c>
      <c r="F46" s="15" t="s">
        <v>2854</v>
      </c>
    </row>
    <row r="47" ht="45.0" customHeight="1">
      <c r="A47" s="15" t="s">
        <v>2855</v>
      </c>
      <c r="B47" s="15" t="s">
        <v>2856</v>
      </c>
      <c r="C47" s="15" t="s">
        <v>2857</v>
      </c>
      <c r="D47" s="15" t="s">
        <v>45</v>
      </c>
      <c r="E47" s="15" t="s">
        <v>2858</v>
      </c>
      <c r="F47" s="15" t="s">
        <v>2859</v>
      </c>
    </row>
    <row r="48" ht="45.0" customHeight="1">
      <c r="A48" s="15" t="s">
        <v>2860</v>
      </c>
      <c r="B48" s="15" t="s">
        <v>2861</v>
      </c>
      <c r="C48" s="15" t="s">
        <v>2669</v>
      </c>
      <c r="D48" s="15" t="s">
        <v>45</v>
      </c>
      <c r="E48" s="15" t="s">
        <v>2862</v>
      </c>
      <c r="F48" s="15" t="s">
        <v>2863</v>
      </c>
    </row>
    <row r="49" ht="45.0" customHeight="1">
      <c r="A49" s="15" t="s">
        <v>2864</v>
      </c>
      <c r="B49" s="15" t="s">
        <v>2865</v>
      </c>
      <c r="C49" s="15" t="s">
        <v>2866</v>
      </c>
      <c r="D49" s="15" t="s">
        <v>45</v>
      </c>
      <c r="E49" s="15" t="s">
        <v>2867</v>
      </c>
      <c r="F49" s="15" t="s">
        <v>2868</v>
      </c>
    </row>
    <row r="50" ht="45.0" customHeight="1">
      <c r="A50" s="15" t="s">
        <v>2869</v>
      </c>
      <c r="B50" s="15" t="s">
        <v>2870</v>
      </c>
      <c r="C50" s="15" t="s">
        <v>2871</v>
      </c>
      <c r="D50" s="15" t="s">
        <v>45</v>
      </c>
      <c r="E50" s="15" t="s">
        <v>2872</v>
      </c>
      <c r="F50" s="15" t="s">
        <v>2873</v>
      </c>
    </row>
    <row r="51" ht="45.0" customHeight="1">
      <c r="A51" s="15" t="s">
        <v>2874</v>
      </c>
      <c r="B51" s="15" t="s">
        <v>2875</v>
      </c>
      <c r="C51" s="15" t="s">
        <v>2876</v>
      </c>
      <c r="D51" s="15" t="s">
        <v>45</v>
      </c>
      <c r="E51" s="15" t="s">
        <v>2877</v>
      </c>
      <c r="F51" s="15" t="s">
        <v>2878</v>
      </c>
    </row>
    <row r="52" ht="45.0" customHeight="1">
      <c r="A52" s="15" t="s">
        <v>2879</v>
      </c>
      <c r="B52" s="15" t="s">
        <v>2880</v>
      </c>
      <c r="C52" s="15" t="s">
        <v>2669</v>
      </c>
      <c r="D52" s="15" t="s">
        <v>45</v>
      </c>
      <c r="E52" s="15" t="s">
        <v>2881</v>
      </c>
      <c r="F52" s="15" t="s">
        <v>2882</v>
      </c>
    </row>
    <row r="53" ht="45.0" customHeight="1">
      <c r="A53" s="15" t="s">
        <v>2883</v>
      </c>
      <c r="B53" s="15" t="s">
        <v>2884</v>
      </c>
      <c r="C53" s="15" t="s">
        <v>2669</v>
      </c>
      <c r="D53" s="15" t="s">
        <v>45</v>
      </c>
      <c r="E53" s="15" t="s">
        <v>2885</v>
      </c>
      <c r="F53" s="15" t="s">
        <v>2886</v>
      </c>
    </row>
    <row r="54" ht="45.0" customHeight="1">
      <c r="A54" s="15" t="s">
        <v>2887</v>
      </c>
      <c r="B54" s="15" t="s">
        <v>2888</v>
      </c>
      <c r="C54" s="15" t="s">
        <v>2889</v>
      </c>
      <c r="D54" s="15" t="s">
        <v>45</v>
      </c>
      <c r="E54" s="15" t="s">
        <v>2890</v>
      </c>
      <c r="F54" s="15" t="s">
        <v>2891</v>
      </c>
    </row>
    <row r="55" ht="45.0" customHeight="1">
      <c r="A55" s="15" t="s">
        <v>2892</v>
      </c>
      <c r="B55" s="15" t="s">
        <v>2893</v>
      </c>
      <c r="C55" s="15" t="s">
        <v>2894</v>
      </c>
      <c r="D55" s="15" t="s">
        <v>45</v>
      </c>
      <c r="E55" s="15" t="s">
        <v>2895</v>
      </c>
      <c r="F55" s="15" t="s">
        <v>2896</v>
      </c>
    </row>
    <row r="56" ht="45.0" customHeight="1">
      <c r="A56" s="15" t="s">
        <v>2897</v>
      </c>
      <c r="B56" s="15" t="s">
        <v>2898</v>
      </c>
      <c r="C56" s="15" t="s">
        <v>2899</v>
      </c>
      <c r="D56" s="15" t="s">
        <v>45</v>
      </c>
      <c r="E56" s="15" t="s">
        <v>2900</v>
      </c>
      <c r="F56" s="15" t="s">
        <v>2901</v>
      </c>
    </row>
    <row r="57" ht="45.0" customHeight="1">
      <c r="A57" s="15" t="s">
        <v>2902</v>
      </c>
      <c r="B57" s="15" t="s">
        <v>2903</v>
      </c>
      <c r="C57" s="15" t="s">
        <v>2904</v>
      </c>
      <c r="D57" s="15" t="s">
        <v>45</v>
      </c>
      <c r="E57" s="15" t="s">
        <v>2905</v>
      </c>
      <c r="F57" s="15" t="s">
        <v>2906</v>
      </c>
    </row>
    <row r="58" ht="45.0" customHeight="1">
      <c r="A58" s="15" t="s">
        <v>2907</v>
      </c>
      <c r="B58" s="15" t="s">
        <v>2908</v>
      </c>
      <c r="C58" s="15" t="s">
        <v>2669</v>
      </c>
      <c r="D58" s="15" t="s">
        <v>45</v>
      </c>
      <c r="E58" s="15" t="s">
        <v>2909</v>
      </c>
      <c r="F58" s="15" t="s">
        <v>2910</v>
      </c>
    </row>
    <row r="59" ht="45.0" customHeight="1">
      <c r="A59" s="15" t="s">
        <v>2911</v>
      </c>
      <c r="B59" s="15" t="s">
        <v>2912</v>
      </c>
      <c r="C59" s="15" t="s">
        <v>2913</v>
      </c>
      <c r="D59" s="15" t="s">
        <v>45</v>
      </c>
      <c r="E59" s="15" t="s">
        <v>2914</v>
      </c>
      <c r="F59" s="15" t="s">
        <v>2915</v>
      </c>
    </row>
    <row r="60" ht="45.0" customHeight="1">
      <c r="A60" s="15" t="s">
        <v>2916</v>
      </c>
      <c r="B60" s="15" t="s">
        <v>2917</v>
      </c>
      <c r="C60" s="15" t="s">
        <v>2918</v>
      </c>
      <c r="D60" s="15" t="s">
        <v>45</v>
      </c>
      <c r="E60" s="15" t="s">
        <v>2919</v>
      </c>
      <c r="F60" s="15" t="s">
        <v>2920</v>
      </c>
    </row>
    <row r="61" ht="45.0" customHeight="1">
      <c r="A61" s="15" t="s">
        <v>2921</v>
      </c>
      <c r="B61" s="15" t="s">
        <v>2922</v>
      </c>
      <c r="C61" s="15" t="s">
        <v>2923</v>
      </c>
      <c r="D61" s="15" t="s">
        <v>45</v>
      </c>
      <c r="E61" s="15" t="s">
        <v>2924</v>
      </c>
      <c r="F61" s="15" t="s">
        <v>2925</v>
      </c>
    </row>
    <row r="62" ht="45.0" customHeight="1">
      <c r="A62" s="15" t="s">
        <v>2926</v>
      </c>
      <c r="B62" s="15" t="s">
        <v>2927</v>
      </c>
      <c r="C62" s="15" t="s">
        <v>2928</v>
      </c>
      <c r="D62" s="15" t="s">
        <v>45</v>
      </c>
      <c r="E62" s="15" t="s">
        <v>2929</v>
      </c>
      <c r="F62" s="15" t="s">
        <v>2930</v>
      </c>
    </row>
    <row r="63" ht="45.0" customHeight="1">
      <c r="A63" s="15" t="s">
        <v>2931</v>
      </c>
      <c r="B63" s="15" t="s">
        <v>2932</v>
      </c>
      <c r="C63" s="15" t="s">
        <v>2933</v>
      </c>
      <c r="D63" s="15" t="s">
        <v>45</v>
      </c>
      <c r="E63" s="15" t="s">
        <v>2934</v>
      </c>
      <c r="F63" s="15" t="s">
        <v>2935</v>
      </c>
    </row>
    <row r="64" ht="45.0" customHeight="1">
      <c r="A64" s="15" t="s">
        <v>2936</v>
      </c>
      <c r="B64" s="15" t="s">
        <v>2937</v>
      </c>
      <c r="C64" s="15" t="s">
        <v>2938</v>
      </c>
      <c r="D64" s="15" t="s">
        <v>45</v>
      </c>
      <c r="E64" s="15" t="s">
        <v>2939</v>
      </c>
      <c r="F64" s="15" t="s">
        <v>2940</v>
      </c>
    </row>
    <row r="65" ht="45.0" customHeight="1">
      <c r="A65" s="15" t="s">
        <v>2941</v>
      </c>
      <c r="B65" s="15" t="s">
        <v>2942</v>
      </c>
      <c r="C65" s="15" t="s">
        <v>2943</v>
      </c>
      <c r="D65" s="15" t="s">
        <v>45</v>
      </c>
      <c r="E65" s="15" t="s">
        <v>2944</v>
      </c>
      <c r="F65" s="15" t="s">
        <v>2945</v>
      </c>
    </row>
    <row r="66" ht="45.0" customHeight="1">
      <c r="A66" s="15" t="s">
        <v>2946</v>
      </c>
      <c r="B66" s="15" t="s">
        <v>2947</v>
      </c>
      <c r="C66" s="15" t="s">
        <v>2669</v>
      </c>
      <c r="D66" s="15" t="s">
        <v>45</v>
      </c>
      <c r="E66" s="15" t="s">
        <v>2948</v>
      </c>
      <c r="F66" s="15" t="s">
        <v>2949</v>
      </c>
    </row>
    <row r="67" ht="45.0" customHeight="1">
      <c r="A67" s="15" t="s">
        <v>2950</v>
      </c>
      <c r="B67" s="15" t="s">
        <v>2951</v>
      </c>
      <c r="C67" s="15" t="s">
        <v>2669</v>
      </c>
      <c r="D67" s="15" t="s">
        <v>45</v>
      </c>
      <c r="E67" s="15" t="s">
        <v>2952</v>
      </c>
      <c r="F67" s="15" t="s">
        <v>2953</v>
      </c>
    </row>
    <row r="68" ht="45.0" customHeight="1">
      <c r="A68" s="15" t="s">
        <v>2954</v>
      </c>
      <c r="B68" s="15" t="s">
        <v>2955</v>
      </c>
      <c r="C68" s="15" t="s">
        <v>2956</v>
      </c>
      <c r="D68" s="15" t="s">
        <v>45</v>
      </c>
      <c r="E68" s="15" t="s">
        <v>2957</v>
      </c>
      <c r="F68" s="15" t="s">
        <v>2958</v>
      </c>
    </row>
    <row r="69" ht="45.0" customHeight="1">
      <c r="A69" s="15" t="s">
        <v>2959</v>
      </c>
      <c r="B69" s="15" t="s">
        <v>2960</v>
      </c>
      <c r="C69" s="15" t="s">
        <v>2961</v>
      </c>
      <c r="D69" s="15" t="s">
        <v>45</v>
      </c>
      <c r="E69" s="15" t="s">
        <v>2962</v>
      </c>
      <c r="F69" s="15" t="s">
        <v>2963</v>
      </c>
    </row>
    <row r="70" ht="45.0" customHeight="1">
      <c r="A70" s="15" t="s">
        <v>2964</v>
      </c>
      <c r="B70" s="15" t="s">
        <v>2965</v>
      </c>
      <c r="C70" s="15" t="s">
        <v>2966</v>
      </c>
      <c r="D70" s="15" t="s">
        <v>45</v>
      </c>
      <c r="E70" s="15" t="s">
        <v>2967</v>
      </c>
      <c r="F70" s="15" t="s">
        <v>2968</v>
      </c>
    </row>
    <row r="71" ht="45.0" customHeight="1">
      <c r="A71" s="15" t="s">
        <v>2969</v>
      </c>
      <c r="B71" s="15" t="s">
        <v>2970</v>
      </c>
      <c r="C71" s="15" t="s">
        <v>2971</v>
      </c>
      <c r="D71" s="15" t="s">
        <v>45</v>
      </c>
      <c r="E71" s="15" t="s">
        <v>2972</v>
      </c>
      <c r="F71" s="15" t="s">
        <v>2973</v>
      </c>
    </row>
    <row r="72" ht="45.0" customHeight="1">
      <c r="A72" s="15" t="s">
        <v>2974</v>
      </c>
      <c r="B72" s="15" t="s">
        <v>2975</v>
      </c>
      <c r="C72" s="15" t="s">
        <v>2971</v>
      </c>
      <c r="D72" s="15" t="s">
        <v>45</v>
      </c>
      <c r="E72" s="15" t="s">
        <v>2976</v>
      </c>
      <c r="F72" s="15" t="s">
        <v>2977</v>
      </c>
    </row>
    <row r="73" ht="45.0" customHeight="1">
      <c r="A73" s="15" t="s">
        <v>2978</v>
      </c>
      <c r="B73" s="15" t="s">
        <v>2979</v>
      </c>
      <c r="C73" s="15" t="s">
        <v>2980</v>
      </c>
      <c r="D73" s="15" t="s">
        <v>45</v>
      </c>
      <c r="E73" s="15" t="s">
        <v>2981</v>
      </c>
      <c r="F73" s="15" t="s">
        <v>2982</v>
      </c>
    </row>
    <row r="74" ht="45.0" customHeight="1">
      <c r="A74" s="15" t="s">
        <v>2983</v>
      </c>
      <c r="B74" s="15" t="s">
        <v>2984</v>
      </c>
      <c r="C74" s="15" t="s">
        <v>2669</v>
      </c>
      <c r="D74" s="15" t="s">
        <v>45</v>
      </c>
      <c r="E74" s="15" t="s">
        <v>2985</v>
      </c>
      <c r="F74" s="15" t="s">
        <v>2986</v>
      </c>
    </row>
    <row r="75" ht="45.0" customHeight="1">
      <c r="A75" s="15" t="s">
        <v>2987</v>
      </c>
      <c r="B75" s="15" t="s">
        <v>2988</v>
      </c>
      <c r="C75" s="15" t="s">
        <v>2989</v>
      </c>
      <c r="D75" s="15" t="s">
        <v>45</v>
      </c>
      <c r="E75" s="15" t="s">
        <v>2990</v>
      </c>
      <c r="F75" s="15" t="s">
        <v>2991</v>
      </c>
    </row>
    <row r="76" ht="45.0" customHeight="1">
      <c r="A76" s="15" t="s">
        <v>2992</v>
      </c>
      <c r="B76" s="15" t="s">
        <v>2993</v>
      </c>
      <c r="C76" s="15" t="s">
        <v>2994</v>
      </c>
      <c r="D76" s="15" t="s">
        <v>45</v>
      </c>
      <c r="E76" s="15" t="s">
        <v>2995</v>
      </c>
      <c r="F76" s="15" t="s">
        <v>2996</v>
      </c>
    </row>
    <row r="77" ht="45.0" customHeight="1">
      <c r="A77" s="15" t="s">
        <v>2997</v>
      </c>
      <c r="B77" s="15" t="s">
        <v>2998</v>
      </c>
      <c r="C77" s="15" t="s">
        <v>2999</v>
      </c>
      <c r="D77" s="15" t="s">
        <v>45</v>
      </c>
      <c r="E77" s="15" t="s">
        <v>3000</v>
      </c>
      <c r="F77" s="15" t="s">
        <v>3001</v>
      </c>
    </row>
    <row r="78" ht="45.0" customHeight="1">
      <c r="A78" s="15" t="s">
        <v>3002</v>
      </c>
      <c r="B78" s="15" t="s">
        <v>3003</v>
      </c>
      <c r="C78" s="15" t="s">
        <v>3004</v>
      </c>
      <c r="D78" s="15" t="s">
        <v>45</v>
      </c>
      <c r="E78" s="15" t="s">
        <v>3005</v>
      </c>
      <c r="F78" s="15" t="s">
        <v>3006</v>
      </c>
    </row>
    <row r="79" ht="45.0" customHeight="1">
      <c r="A79" s="15" t="s">
        <v>3007</v>
      </c>
      <c r="B79" s="15" t="s">
        <v>3008</v>
      </c>
      <c r="C79" s="15" t="s">
        <v>3009</v>
      </c>
      <c r="D79" s="15" t="s">
        <v>45</v>
      </c>
      <c r="E79" s="15" t="s">
        <v>3010</v>
      </c>
      <c r="F79" s="15" t="s">
        <v>3011</v>
      </c>
    </row>
    <row r="80" ht="45.0" customHeight="1">
      <c r="A80" s="15" t="s">
        <v>3012</v>
      </c>
      <c r="B80" s="15" t="s">
        <v>3013</v>
      </c>
      <c r="C80" s="15" t="s">
        <v>3014</v>
      </c>
      <c r="D80" s="15" t="s">
        <v>45</v>
      </c>
      <c r="E80" s="15" t="s">
        <v>3015</v>
      </c>
      <c r="F80" s="15" t="s">
        <v>3016</v>
      </c>
    </row>
    <row r="81" ht="45.0" customHeight="1">
      <c r="A81" s="15" t="s">
        <v>3017</v>
      </c>
      <c r="B81" s="15" t="s">
        <v>3018</v>
      </c>
      <c r="C81" s="15" t="s">
        <v>3019</v>
      </c>
      <c r="D81" s="15" t="s">
        <v>45</v>
      </c>
      <c r="E81" s="15" t="s">
        <v>3020</v>
      </c>
      <c r="F81" s="15" t="s">
        <v>3021</v>
      </c>
    </row>
    <row r="82" ht="45.0" customHeight="1">
      <c r="A82" s="15" t="s">
        <v>3022</v>
      </c>
      <c r="B82" s="15" t="s">
        <v>3023</v>
      </c>
      <c r="C82" s="15" t="s">
        <v>3024</v>
      </c>
      <c r="D82" s="15" t="s">
        <v>45</v>
      </c>
      <c r="E82" s="15" t="s">
        <v>3025</v>
      </c>
      <c r="F82" s="15" t="s">
        <v>3026</v>
      </c>
    </row>
    <row r="83" ht="45.0" customHeight="1">
      <c r="A83" s="15" t="s">
        <v>3027</v>
      </c>
      <c r="B83" s="15" t="s">
        <v>3028</v>
      </c>
      <c r="C83" s="15" t="s">
        <v>3029</v>
      </c>
      <c r="D83" s="15" t="s">
        <v>45</v>
      </c>
      <c r="E83" s="15" t="s">
        <v>3030</v>
      </c>
      <c r="F83" s="15" t="s">
        <v>3031</v>
      </c>
    </row>
    <row r="84" ht="45.0" customHeight="1">
      <c r="A84" s="15" t="s">
        <v>3032</v>
      </c>
      <c r="B84" s="15" t="s">
        <v>3033</v>
      </c>
      <c r="C84" s="15" t="s">
        <v>3034</v>
      </c>
      <c r="D84" s="15" t="s">
        <v>45</v>
      </c>
      <c r="E84" s="15" t="s">
        <v>3035</v>
      </c>
      <c r="F84" s="15" t="s">
        <v>3036</v>
      </c>
    </row>
    <row r="85" ht="45.0" customHeight="1">
      <c r="A85" s="15" t="s">
        <v>3037</v>
      </c>
      <c r="B85" s="15" t="s">
        <v>3038</v>
      </c>
      <c r="C85" s="15" t="s">
        <v>2669</v>
      </c>
      <c r="D85" s="15" t="s">
        <v>45</v>
      </c>
      <c r="E85" s="15" t="s">
        <v>3039</v>
      </c>
      <c r="F85" s="15" t="s">
        <v>3040</v>
      </c>
    </row>
    <row r="86" ht="45.0" customHeight="1">
      <c r="A86" s="15" t="s">
        <v>3041</v>
      </c>
      <c r="B86" s="15" t="s">
        <v>3042</v>
      </c>
      <c r="C86" s="15" t="s">
        <v>2669</v>
      </c>
      <c r="D86" s="15" t="s">
        <v>45</v>
      </c>
      <c r="E86" s="15" t="s">
        <v>3043</v>
      </c>
      <c r="F86" s="15" t="s">
        <v>3044</v>
      </c>
    </row>
    <row r="87" ht="45.0" customHeight="1">
      <c r="A87" s="15" t="s">
        <v>3045</v>
      </c>
      <c r="B87" s="15" t="s">
        <v>3046</v>
      </c>
      <c r="C87" s="15" t="s">
        <v>3047</v>
      </c>
      <c r="D87" s="15" t="s">
        <v>45</v>
      </c>
      <c r="E87" s="15" t="s">
        <v>3048</v>
      </c>
      <c r="F87" s="15" t="s">
        <v>3049</v>
      </c>
    </row>
    <row r="88" ht="45.0" customHeight="1">
      <c r="A88" s="15" t="s">
        <v>3050</v>
      </c>
      <c r="B88" s="15" t="s">
        <v>3051</v>
      </c>
      <c r="C88" s="15" t="s">
        <v>3052</v>
      </c>
      <c r="D88" s="15" t="s">
        <v>45</v>
      </c>
      <c r="E88" s="15" t="s">
        <v>3053</v>
      </c>
      <c r="F88" s="15" t="s">
        <v>3054</v>
      </c>
    </row>
    <row r="89" ht="45.0" customHeight="1">
      <c r="A89" s="15" t="s">
        <v>3055</v>
      </c>
      <c r="B89" s="15" t="s">
        <v>3056</v>
      </c>
      <c r="C89" s="15" t="s">
        <v>2669</v>
      </c>
      <c r="D89" s="15" t="s">
        <v>45</v>
      </c>
      <c r="E89" s="15" t="s">
        <v>3057</v>
      </c>
      <c r="F89" s="15" t="s">
        <v>3058</v>
      </c>
    </row>
    <row r="90" ht="45.0" customHeight="1">
      <c r="A90" s="15" t="s">
        <v>3059</v>
      </c>
      <c r="B90" s="15" t="s">
        <v>3060</v>
      </c>
      <c r="C90" s="15" t="s">
        <v>3061</v>
      </c>
      <c r="D90" s="15" t="s">
        <v>45</v>
      </c>
      <c r="E90" s="15" t="s">
        <v>3062</v>
      </c>
      <c r="F90" s="15" t="s">
        <v>3063</v>
      </c>
    </row>
    <row r="91" ht="45.0" customHeight="1">
      <c r="A91" s="15" t="s">
        <v>3064</v>
      </c>
      <c r="B91" s="15" t="s">
        <v>3065</v>
      </c>
      <c r="C91" s="15" t="s">
        <v>3066</v>
      </c>
      <c r="D91" s="15" t="s">
        <v>45</v>
      </c>
      <c r="E91" s="15" t="s">
        <v>3067</v>
      </c>
      <c r="F91" s="15" t="s">
        <v>3068</v>
      </c>
    </row>
    <row r="92" ht="45.0" customHeight="1">
      <c r="A92" s="15" t="s">
        <v>3069</v>
      </c>
      <c r="B92" s="15" t="s">
        <v>3070</v>
      </c>
      <c r="C92" s="15" t="s">
        <v>3071</v>
      </c>
      <c r="D92" s="15" t="s">
        <v>45</v>
      </c>
      <c r="E92" s="15" t="s">
        <v>3072</v>
      </c>
      <c r="F92" s="15" t="s">
        <v>3073</v>
      </c>
    </row>
    <row r="93" ht="45.0" customHeight="1">
      <c r="A93" s="15" t="s">
        <v>3074</v>
      </c>
      <c r="B93" s="15" t="s">
        <v>3075</v>
      </c>
      <c r="C93" s="15" t="s">
        <v>3076</v>
      </c>
      <c r="D93" s="15" t="s">
        <v>45</v>
      </c>
      <c r="E93" s="15" t="s">
        <v>3077</v>
      </c>
      <c r="F93" s="15" t="s">
        <v>3078</v>
      </c>
    </row>
    <row r="94" ht="45.0" customHeight="1">
      <c r="A94" s="15" t="s">
        <v>3079</v>
      </c>
      <c r="B94" s="15" t="s">
        <v>3080</v>
      </c>
      <c r="C94" s="15" t="s">
        <v>2928</v>
      </c>
      <c r="D94" s="15" t="s">
        <v>45</v>
      </c>
      <c r="E94" s="15" t="s">
        <v>3081</v>
      </c>
      <c r="F94" s="15" t="s">
        <v>3082</v>
      </c>
    </row>
    <row r="95" ht="45.0" customHeight="1">
      <c r="A95" s="15" t="s">
        <v>3083</v>
      </c>
      <c r="B95" s="15" t="s">
        <v>3084</v>
      </c>
      <c r="C95" s="15" t="s">
        <v>3085</v>
      </c>
      <c r="D95" s="15" t="s">
        <v>45</v>
      </c>
      <c r="E95" s="15" t="s">
        <v>3086</v>
      </c>
      <c r="F95" s="15" t="s">
        <v>3087</v>
      </c>
    </row>
    <row r="96" ht="45.0" customHeight="1">
      <c r="A96" s="15" t="s">
        <v>3088</v>
      </c>
      <c r="B96" s="15" t="s">
        <v>3089</v>
      </c>
      <c r="C96" s="15" t="s">
        <v>3090</v>
      </c>
      <c r="D96" s="15" t="s">
        <v>45</v>
      </c>
      <c r="E96" s="15" t="s">
        <v>3091</v>
      </c>
      <c r="F96" s="15" t="s">
        <v>3092</v>
      </c>
    </row>
    <row r="97" ht="45.0" customHeight="1">
      <c r="A97" s="15" t="s">
        <v>3093</v>
      </c>
      <c r="B97" s="15" t="s">
        <v>3094</v>
      </c>
      <c r="C97" s="15" t="s">
        <v>3095</v>
      </c>
      <c r="D97" s="15" t="s">
        <v>45</v>
      </c>
      <c r="E97" s="15" t="s">
        <v>3096</v>
      </c>
      <c r="F97" s="15" t="s">
        <v>2991</v>
      </c>
    </row>
    <row r="98" ht="45.0" customHeight="1">
      <c r="A98" s="15" t="s">
        <v>3097</v>
      </c>
      <c r="B98" s="15" t="s">
        <v>3098</v>
      </c>
      <c r="C98" s="15" t="s">
        <v>3076</v>
      </c>
      <c r="D98" s="15" t="s">
        <v>45</v>
      </c>
      <c r="E98" s="15" t="s">
        <v>3099</v>
      </c>
      <c r="F98" s="15" t="s">
        <v>3100</v>
      </c>
    </row>
    <row r="99" ht="45.0" customHeight="1">
      <c r="A99" s="15" t="s">
        <v>3101</v>
      </c>
      <c r="B99" s="15" t="s">
        <v>3102</v>
      </c>
      <c r="C99" s="15" t="s">
        <v>3103</v>
      </c>
      <c r="D99" s="15" t="s">
        <v>45</v>
      </c>
      <c r="E99" s="15" t="s">
        <v>3104</v>
      </c>
      <c r="F99" s="15" t="s">
        <v>3105</v>
      </c>
    </row>
    <row r="100" ht="15.75" customHeight="1">
      <c r="A100" s="19"/>
      <c r="B100" s="19"/>
      <c r="C100" s="19"/>
      <c r="D100" s="19"/>
      <c r="E100" s="19"/>
      <c r="F100" s="19"/>
    </row>
    <row r="101" ht="15.75" customHeight="1">
      <c r="A101" s="19"/>
      <c r="B101" s="19"/>
      <c r="C101" s="19"/>
      <c r="D101" s="19"/>
      <c r="E101" s="19"/>
      <c r="F101" s="19"/>
    </row>
    <row r="102" ht="15.75" customHeight="1">
      <c r="A102" s="19"/>
      <c r="B102" s="19"/>
      <c r="C102" s="19"/>
      <c r="D102" s="19"/>
      <c r="E102" s="19"/>
      <c r="F102" s="19"/>
    </row>
    <row r="103" ht="15.75" customHeight="1">
      <c r="A103" s="19"/>
      <c r="B103" s="19"/>
      <c r="C103" s="19"/>
      <c r="D103" s="19"/>
      <c r="E103" s="19"/>
      <c r="F103" s="19"/>
    </row>
    <row r="104" ht="15.75" customHeight="1">
      <c r="A104" s="19"/>
      <c r="B104" s="19"/>
      <c r="C104" s="19"/>
      <c r="D104" s="19"/>
      <c r="E104" s="19"/>
      <c r="F104" s="19"/>
    </row>
    <row r="105" ht="15.75" customHeight="1">
      <c r="A105" s="19"/>
      <c r="B105" s="19"/>
      <c r="C105" s="19"/>
      <c r="D105" s="19"/>
      <c r="E105" s="19"/>
      <c r="F105" s="19"/>
    </row>
    <row r="106" ht="15.75" customHeight="1">
      <c r="A106" s="19"/>
      <c r="B106" s="19"/>
      <c r="C106" s="19"/>
      <c r="D106" s="19"/>
      <c r="E106" s="19"/>
      <c r="F106" s="19"/>
    </row>
    <row r="107" ht="15.75" customHeight="1">
      <c r="A107" s="19"/>
      <c r="B107" s="19"/>
      <c r="C107" s="19"/>
      <c r="D107" s="19"/>
      <c r="E107" s="19"/>
      <c r="F107" s="19"/>
    </row>
    <row r="108" ht="15.75" customHeight="1">
      <c r="A108" s="19"/>
      <c r="B108" s="19"/>
      <c r="C108" s="19"/>
      <c r="D108" s="19"/>
      <c r="E108" s="19"/>
      <c r="F108" s="19"/>
    </row>
    <row r="109" ht="15.75" customHeight="1">
      <c r="A109" s="19"/>
      <c r="B109" s="19"/>
      <c r="C109" s="19"/>
      <c r="D109" s="19"/>
      <c r="E109" s="19"/>
      <c r="F109" s="19"/>
    </row>
    <row r="110" ht="15.75" customHeight="1">
      <c r="A110" s="19"/>
      <c r="B110" s="19"/>
      <c r="C110" s="19"/>
      <c r="D110" s="19"/>
      <c r="E110" s="19"/>
      <c r="F110" s="19"/>
    </row>
    <row r="111" ht="15.75" customHeight="1">
      <c r="A111" s="19"/>
      <c r="B111" s="19"/>
      <c r="C111" s="19"/>
      <c r="D111" s="19"/>
      <c r="E111" s="19"/>
      <c r="F111" s="19"/>
    </row>
    <row r="112" ht="15.75" customHeight="1">
      <c r="A112" s="19"/>
      <c r="B112" s="19"/>
      <c r="C112" s="19"/>
      <c r="D112" s="19"/>
      <c r="E112" s="19"/>
      <c r="F112" s="19"/>
    </row>
    <row r="113" ht="15.75" customHeight="1">
      <c r="A113" s="19"/>
      <c r="B113" s="19"/>
      <c r="C113" s="19"/>
      <c r="D113" s="19"/>
      <c r="E113" s="19"/>
      <c r="F113" s="19"/>
    </row>
    <row r="114" ht="15.75" customHeight="1">
      <c r="A114" s="19"/>
      <c r="B114" s="19"/>
      <c r="C114" s="19"/>
      <c r="D114" s="19"/>
      <c r="E114" s="19"/>
      <c r="F114" s="19"/>
    </row>
    <row r="115" ht="15.75" customHeight="1">
      <c r="A115" s="19"/>
      <c r="B115" s="19"/>
      <c r="C115" s="19"/>
      <c r="D115" s="19"/>
      <c r="E115" s="19"/>
      <c r="F115" s="19"/>
    </row>
    <row r="116" ht="15.75" customHeight="1">
      <c r="A116" s="19"/>
      <c r="B116" s="19"/>
      <c r="C116" s="19"/>
      <c r="D116" s="19"/>
      <c r="E116" s="19"/>
      <c r="F116" s="19"/>
    </row>
    <row r="117" ht="15.75" customHeight="1">
      <c r="A117" s="19"/>
      <c r="B117" s="19"/>
      <c r="C117" s="19"/>
      <c r="D117" s="19"/>
      <c r="E117" s="19"/>
      <c r="F117" s="19"/>
    </row>
    <row r="118" ht="15.75" customHeight="1">
      <c r="A118" s="19"/>
      <c r="B118" s="19"/>
      <c r="C118" s="19"/>
      <c r="D118" s="19"/>
      <c r="E118" s="19"/>
      <c r="F118" s="19"/>
    </row>
    <row r="119" ht="15.75" customHeight="1">
      <c r="A119" s="19"/>
      <c r="B119" s="19"/>
      <c r="C119" s="19"/>
      <c r="D119" s="19"/>
      <c r="E119" s="19"/>
      <c r="F119" s="19"/>
    </row>
    <row r="120" ht="15.75" customHeight="1">
      <c r="A120" s="19"/>
      <c r="B120" s="19"/>
      <c r="C120" s="19"/>
      <c r="D120" s="19"/>
      <c r="E120" s="19"/>
      <c r="F120" s="19"/>
    </row>
    <row r="121" ht="15.75" customHeight="1">
      <c r="A121" s="19"/>
      <c r="B121" s="19"/>
      <c r="C121" s="19"/>
      <c r="D121" s="19"/>
      <c r="E121" s="19"/>
      <c r="F121" s="19"/>
    </row>
    <row r="122" ht="15.75" customHeight="1">
      <c r="A122" s="19"/>
      <c r="B122" s="19"/>
      <c r="C122" s="19"/>
      <c r="D122" s="19"/>
      <c r="E122" s="19"/>
      <c r="F122" s="19"/>
    </row>
    <row r="123" ht="15.75" customHeight="1">
      <c r="A123" s="19"/>
      <c r="B123" s="19"/>
      <c r="C123" s="19"/>
      <c r="D123" s="19"/>
      <c r="E123" s="19"/>
      <c r="F123" s="19"/>
    </row>
    <row r="124" ht="15.75" customHeight="1">
      <c r="A124" s="19"/>
      <c r="B124" s="19"/>
      <c r="C124" s="19"/>
      <c r="D124" s="19"/>
      <c r="E124" s="19"/>
      <c r="F124" s="19"/>
    </row>
    <row r="125" ht="15.75" customHeight="1">
      <c r="A125" s="19"/>
      <c r="B125" s="19"/>
      <c r="C125" s="19"/>
      <c r="D125" s="19"/>
      <c r="E125" s="19"/>
      <c r="F125" s="19"/>
    </row>
    <row r="126" ht="15.75" customHeight="1">
      <c r="A126" s="19"/>
      <c r="B126" s="19"/>
      <c r="C126" s="19"/>
      <c r="D126" s="19"/>
      <c r="E126" s="19"/>
      <c r="F126" s="19"/>
    </row>
    <row r="127" ht="15.75" customHeight="1">
      <c r="A127" s="19"/>
      <c r="B127" s="19"/>
      <c r="C127" s="19"/>
      <c r="D127" s="19"/>
      <c r="E127" s="19"/>
      <c r="F127" s="19"/>
    </row>
    <row r="128" ht="15.75" customHeight="1">
      <c r="A128" s="19"/>
      <c r="B128" s="19"/>
      <c r="C128" s="19"/>
      <c r="D128" s="19"/>
      <c r="E128" s="19"/>
      <c r="F128" s="19"/>
    </row>
    <row r="129" ht="15.75" customHeight="1">
      <c r="A129" s="19"/>
      <c r="B129" s="19"/>
      <c r="C129" s="19"/>
      <c r="D129" s="19"/>
      <c r="E129" s="19"/>
      <c r="F129" s="19"/>
    </row>
    <row r="130" ht="15.75" customHeight="1">
      <c r="A130" s="19"/>
      <c r="B130" s="19"/>
      <c r="C130" s="19"/>
      <c r="D130" s="19"/>
      <c r="E130" s="19"/>
      <c r="F130" s="19"/>
    </row>
    <row r="131" ht="15.75" customHeight="1">
      <c r="A131" s="19"/>
      <c r="B131" s="19"/>
      <c r="C131" s="19"/>
      <c r="D131" s="19"/>
      <c r="E131" s="19"/>
      <c r="F131" s="19"/>
    </row>
    <row r="132" ht="15.75" customHeight="1">
      <c r="A132" s="19"/>
      <c r="B132" s="19"/>
      <c r="C132" s="19"/>
      <c r="D132" s="19"/>
      <c r="E132" s="19"/>
      <c r="F132" s="19"/>
    </row>
    <row r="133" ht="15.75" customHeight="1">
      <c r="A133" s="19"/>
      <c r="B133" s="19"/>
      <c r="C133" s="19"/>
      <c r="D133" s="19"/>
      <c r="E133" s="19"/>
      <c r="F133" s="19"/>
    </row>
    <row r="134" ht="15.75" customHeight="1">
      <c r="A134" s="19"/>
      <c r="B134" s="19"/>
      <c r="C134" s="19"/>
      <c r="D134" s="19"/>
      <c r="E134" s="19"/>
      <c r="F134" s="19"/>
    </row>
    <row r="135" ht="15.75" customHeight="1">
      <c r="A135" s="19"/>
      <c r="B135" s="19"/>
      <c r="C135" s="19"/>
      <c r="D135" s="19"/>
      <c r="E135" s="19"/>
      <c r="F135" s="19"/>
    </row>
    <row r="136" ht="15.75" customHeight="1">
      <c r="A136" s="19"/>
      <c r="B136" s="19"/>
      <c r="C136" s="19"/>
      <c r="D136" s="19"/>
      <c r="E136" s="19"/>
      <c r="F136" s="19"/>
    </row>
    <row r="137" ht="15.75" customHeight="1">
      <c r="A137" s="19"/>
      <c r="B137" s="19"/>
      <c r="C137" s="19"/>
      <c r="D137" s="19"/>
      <c r="E137" s="19"/>
      <c r="F137" s="19"/>
    </row>
    <row r="138" ht="15.75" customHeight="1">
      <c r="A138" s="19"/>
      <c r="B138" s="19"/>
      <c r="C138" s="19"/>
      <c r="D138" s="19"/>
      <c r="E138" s="19"/>
      <c r="F138" s="19"/>
    </row>
    <row r="139" ht="15.75" customHeight="1">
      <c r="A139" s="19"/>
      <c r="B139" s="19"/>
      <c r="C139" s="19"/>
      <c r="D139" s="19"/>
      <c r="E139" s="19"/>
      <c r="F139" s="19"/>
    </row>
    <row r="140" ht="15.75" customHeight="1">
      <c r="A140" s="19"/>
      <c r="B140" s="19"/>
      <c r="C140" s="19"/>
      <c r="D140" s="19"/>
      <c r="E140" s="19"/>
      <c r="F140" s="19"/>
    </row>
    <row r="141" ht="15.75" customHeight="1">
      <c r="A141" s="19"/>
      <c r="B141" s="19"/>
      <c r="C141" s="19"/>
      <c r="D141" s="19"/>
      <c r="E141" s="19"/>
      <c r="F141" s="19"/>
    </row>
    <row r="142" ht="15.75" customHeight="1">
      <c r="A142" s="19"/>
      <c r="B142" s="19"/>
      <c r="C142" s="19"/>
      <c r="D142" s="19"/>
      <c r="E142" s="19"/>
      <c r="F142" s="19"/>
    </row>
    <row r="143" ht="15.75" customHeight="1">
      <c r="A143" s="19"/>
      <c r="B143" s="19"/>
      <c r="C143" s="19"/>
      <c r="D143" s="19"/>
      <c r="E143" s="19"/>
      <c r="F143" s="19"/>
    </row>
    <row r="144" ht="15.75" customHeight="1">
      <c r="A144" s="19"/>
      <c r="B144" s="19"/>
      <c r="C144" s="19"/>
      <c r="D144" s="19"/>
      <c r="E144" s="19"/>
      <c r="F144" s="19"/>
    </row>
    <row r="145" ht="15.75" customHeight="1">
      <c r="A145" s="19"/>
      <c r="B145" s="19"/>
      <c r="C145" s="19"/>
      <c r="D145" s="19"/>
      <c r="E145" s="19"/>
      <c r="F145" s="19"/>
    </row>
    <row r="146" ht="15.75" customHeight="1">
      <c r="A146" s="19"/>
      <c r="B146" s="19"/>
      <c r="C146" s="19"/>
      <c r="D146" s="19"/>
      <c r="E146" s="19"/>
      <c r="F146" s="19"/>
    </row>
    <row r="147" ht="15.75" customHeight="1">
      <c r="A147" s="19"/>
      <c r="B147" s="19"/>
      <c r="C147" s="19"/>
      <c r="D147" s="19"/>
      <c r="E147" s="19"/>
      <c r="F147" s="19"/>
    </row>
    <row r="148" ht="15.75" customHeight="1">
      <c r="A148" s="19"/>
      <c r="B148" s="19"/>
      <c r="C148" s="19"/>
      <c r="D148" s="19"/>
      <c r="E148" s="19"/>
      <c r="F148" s="19"/>
    </row>
    <row r="149" ht="15.75" customHeight="1">
      <c r="A149" s="19"/>
      <c r="B149" s="19"/>
      <c r="C149" s="19"/>
      <c r="D149" s="19"/>
      <c r="E149" s="19"/>
      <c r="F149" s="19"/>
    </row>
    <row r="150" ht="15.75" customHeight="1">
      <c r="A150" s="19"/>
      <c r="B150" s="19"/>
      <c r="C150" s="19"/>
      <c r="D150" s="19"/>
      <c r="E150" s="19"/>
      <c r="F150" s="19"/>
    </row>
    <row r="151" ht="15.75" customHeight="1">
      <c r="A151" s="19"/>
      <c r="B151" s="19"/>
      <c r="C151" s="19"/>
      <c r="D151" s="19"/>
      <c r="E151" s="19"/>
      <c r="F151" s="19"/>
    </row>
    <row r="152" ht="15.75" customHeight="1">
      <c r="A152" s="19"/>
      <c r="B152" s="19"/>
      <c r="C152" s="19"/>
      <c r="D152" s="19"/>
      <c r="E152" s="19"/>
      <c r="F152" s="19"/>
    </row>
    <row r="153" ht="15.75" customHeight="1">
      <c r="A153" s="19"/>
      <c r="B153" s="19"/>
      <c r="C153" s="19"/>
      <c r="D153" s="19"/>
      <c r="E153" s="19"/>
      <c r="F153" s="19"/>
    </row>
    <row r="154" ht="15.75" customHeight="1">
      <c r="A154" s="19"/>
      <c r="B154" s="19"/>
      <c r="C154" s="19"/>
      <c r="D154" s="19"/>
      <c r="E154" s="19"/>
      <c r="F154" s="19"/>
    </row>
    <row r="155" ht="15.75" customHeight="1">
      <c r="A155" s="19"/>
      <c r="B155" s="19"/>
      <c r="C155" s="19"/>
      <c r="D155" s="19"/>
      <c r="E155" s="19"/>
      <c r="F155" s="19"/>
    </row>
    <row r="156" ht="15.75" customHeight="1">
      <c r="A156" s="19"/>
      <c r="B156" s="19"/>
      <c r="C156" s="19"/>
      <c r="D156" s="19"/>
      <c r="E156" s="19"/>
      <c r="F156" s="19"/>
    </row>
    <row r="157" ht="15.75" customHeight="1">
      <c r="A157" s="19"/>
      <c r="B157" s="19"/>
      <c r="C157" s="19"/>
      <c r="D157" s="19"/>
      <c r="E157" s="19"/>
      <c r="F157" s="19"/>
    </row>
    <row r="158" ht="15.75" customHeight="1">
      <c r="A158" s="19"/>
      <c r="B158" s="19"/>
      <c r="C158" s="19"/>
      <c r="D158" s="19"/>
      <c r="E158" s="19"/>
      <c r="F158" s="19"/>
    </row>
    <row r="159" ht="15.75" customHeight="1">
      <c r="A159" s="19"/>
      <c r="B159" s="19"/>
      <c r="C159" s="19"/>
      <c r="D159" s="19"/>
      <c r="E159" s="19"/>
      <c r="F159" s="19"/>
    </row>
    <row r="160" ht="15.75" customHeight="1">
      <c r="A160" s="19"/>
      <c r="B160" s="19"/>
      <c r="C160" s="19"/>
      <c r="D160" s="19"/>
      <c r="E160" s="19"/>
      <c r="F160" s="19"/>
    </row>
    <row r="161" ht="15.75" customHeight="1">
      <c r="A161" s="19"/>
      <c r="B161" s="19"/>
      <c r="C161" s="19"/>
      <c r="D161" s="19"/>
      <c r="E161" s="19"/>
      <c r="F161" s="19"/>
    </row>
    <row r="162" ht="15.75" customHeight="1">
      <c r="A162" s="19"/>
      <c r="B162" s="19"/>
      <c r="C162" s="19"/>
      <c r="D162" s="19"/>
      <c r="E162" s="19"/>
      <c r="F162" s="19"/>
    </row>
    <row r="163" ht="15.75" customHeight="1">
      <c r="A163" s="19"/>
      <c r="B163" s="19"/>
      <c r="C163" s="19"/>
      <c r="D163" s="19"/>
      <c r="E163" s="19"/>
      <c r="F163" s="19"/>
    </row>
    <row r="164" ht="15.75" customHeight="1">
      <c r="A164" s="19"/>
      <c r="B164" s="19"/>
      <c r="C164" s="19"/>
      <c r="D164" s="19"/>
      <c r="E164" s="19"/>
      <c r="F164" s="19"/>
    </row>
    <row r="165" ht="15.75" customHeight="1">
      <c r="A165" s="19"/>
      <c r="B165" s="19"/>
      <c r="C165" s="19"/>
      <c r="D165" s="19"/>
      <c r="E165" s="19"/>
      <c r="F165" s="19"/>
    </row>
    <row r="166" ht="15.75" customHeight="1">
      <c r="A166" s="19"/>
      <c r="B166" s="19"/>
      <c r="C166" s="19"/>
      <c r="D166" s="19"/>
      <c r="E166" s="19"/>
      <c r="F166" s="19"/>
    </row>
    <row r="167" ht="15.75" customHeight="1">
      <c r="A167" s="19"/>
      <c r="B167" s="19"/>
      <c r="C167" s="19"/>
      <c r="D167" s="19"/>
      <c r="E167" s="19"/>
      <c r="F167" s="19"/>
    </row>
    <row r="168" ht="15.75" customHeight="1">
      <c r="A168" s="19"/>
      <c r="B168" s="19"/>
      <c r="C168" s="19"/>
      <c r="D168" s="19"/>
      <c r="E168" s="19"/>
      <c r="F168" s="19"/>
    </row>
    <row r="169" ht="15.75" customHeight="1">
      <c r="A169" s="19"/>
      <c r="B169" s="19"/>
      <c r="C169" s="19"/>
      <c r="D169" s="19"/>
      <c r="E169" s="19"/>
      <c r="F169" s="19"/>
    </row>
    <row r="170" ht="15.75" customHeight="1">
      <c r="A170" s="19"/>
      <c r="B170" s="19"/>
      <c r="C170" s="19"/>
      <c r="D170" s="19"/>
      <c r="E170" s="19"/>
      <c r="F170" s="19"/>
    </row>
    <row r="171" ht="15.75" customHeight="1">
      <c r="A171" s="19"/>
      <c r="B171" s="19"/>
      <c r="C171" s="19"/>
      <c r="D171" s="19"/>
      <c r="E171" s="19"/>
      <c r="F171" s="19"/>
    </row>
    <row r="172" ht="15.75" customHeight="1">
      <c r="A172" s="19"/>
      <c r="B172" s="19"/>
      <c r="C172" s="19"/>
      <c r="D172" s="19"/>
      <c r="E172" s="19"/>
      <c r="F172" s="19"/>
    </row>
    <row r="173" ht="15.75" customHeight="1">
      <c r="A173" s="19"/>
      <c r="B173" s="19"/>
      <c r="C173" s="19"/>
      <c r="D173" s="19"/>
      <c r="E173" s="19"/>
      <c r="F173" s="19"/>
    </row>
    <row r="174" ht="15.75" customHeight="1">
      <c r="A174" s="19"/>
      <c r="B174" s="19"/>
      <c r="C174" s="19"/>
      <c r="D174" s="19"/>
      <c r="E174" s="19"/>
      <c r="F174" s="19"/>
    </row>
    <row r="175" ht="15.75" customHeight="1">
      <c r="A175" s="19"/>
      <c r="B175" s="19"/>
      <c r="C175" s="19"/>
      <c r="D175" s="19"/>
      <c r="E175" s="19"/>
      <c r="F175" s="19"/>
    </row>
    <row r="176" ht="15.75" customHeight="1">
      <c r="A176" s="19"/>
      <c r="B176" s="19"/>
      <c r="C176" s="19"/>
      <c r="D176" s="19"/>
      <c r="E176" s="19"/>
      <c r="F176" s="19"/>
    </row>
    <row r="177" ht="15.75" customHeight="1">
      <c r="A177" s="19"/>
      <c r="B177" s="19"/>
      <c r="C177" s="19"/>
      <c r="D177" s="19"/>
      <c r="E177" s="19"/>
      <c r="F177" s="19"/>
    </row>
    <row r="178" ht="15.75" customHeight="1">
      <c r="A178" s="19"/>
      <c r="B178" s="19"/>
      <c r="C178" s="19"/>
      <c r="D178" s="19"/>
      <c r="E178" s="19"/>
      <c r="F178" s="19"/>
    </row>
    <row r="179" ht="15.75" customHeight="1">
      <c r="A179" s="19"/>
      <c r="B179" s="19"/>
      <c r="C179" s="19"/>
      <c r="D179" s="19"/>
      <c r="E179" s="19"/>
      <c r="F179" s="19"/>
    </row>
    <row r="180" ht="15.75" customHeight="1">
      <c r="A180" s="19"/>
      <c r="B180" s="19"/>
      <c r="C180" s="19"/>
      <c r="D180" s="19"/>
      <c r="E180" s="19"/>
      <c r="F180" s="19"/>
    </row>
    <row r="181" ht="15.75" customHeight="1">
      <c r="A181" s="19"/>
      <c r="B181" s="19"/>
      <c r="C181" s="19"/>
      <c r="D181" s="19"/>
      <c r="E181" s="19"/>
      <c r="F181" s="19"/>
    </row>
    <row r="182" ht="15.75" customHeight="1">
      <c r="A182" s="19"/>
      <c r="B182" s="19"/>
      <c r="C182" s="19"/>
      <c r="D182" s="19"/>
      <c r="E182" s="19"/>
      <c r="F182" s="19"/>
    </row>
    <row r="183" ht="15.75" customHeight="1">
      <c r="A183" s="19"/>
      <c r="B183" s="19"/>
      <c r="C183" s="19"/>
      <c r="D183" s="19"/>
      <c r="E183" s="19"/>
      <c r="F183" s="19"/>
    </row>
    <row r="184" ht="15.75" customHeight="1">
      <c r="A184" s="19"/>
      <c r="B184" s="19"/>
      <c r="C184" s="19"/>
      <c r="D184" s="19"/>
      <c r="E184" s="19"/>
      <c r="F184" s="19"/>
    </row>
    <row r="185" ht="15.75" customHeight="1">
      <c r="A185" s="19"/>
      <c r="B185" s="19"/>
      <c r="C185" s="19"/>
      <c r="D185" s="19"/>
      <c r="E185" s="19"/>
      <c r="F185" s="19"/>
    </row>
    <row r="186" ht="15.75" customHeight="1">
      <c r="A186" s="19"/>
      <c r="B186" s="19"/>
      <c r="C186" s="19"/>
      <c r="D186" s="19"/>
      <c r="E186" s="19"/>
      <c r="F186" s="19"/>
    </row>
    <row r="187" ht="15.75" customHeight="1">
      <c r="A187" s="19"/>
      <c r="B187" s="19"/>
      <c r="C187" s="19"/>
      <c r="D187" s="19"/>
      <c r="E187" s="19"/>
      <c r="F187" s="19"/>
    </row>
    <row r="188" ht="15.75" customHeight="1">
      <c r="A188" s="19"/>
      <c r="B188" s="19"/>
      <c r="C188" s="19"/>
      <c r="D188" s="19"/>
      <c r="E188" s="19"/>
      <c r="F188" s="19"/>
    </row>
    <row r="189" ht="15.75" customHeight="1">
      <c r="A189" s="19"/>
      <c r="B189" s="19"/>
      <c r="C189" s="19"/>
      <c r="D189" s="19"/>
      <c r="E189" s="19"/>
      <c r="F189" s="19"/>
    </row>
    <row r="190" ht="15.75" customHeight="1">
      <c r="A190" s="19"/>
      <c r="B190" s="19"/>
      <c r="C190" s="19"/>
      <c r="D190" s="19"/>
      <c r="E190" s="19"/>
      <c r="F190" s="19"/>
    </row>
    <row r="191" ht="15.75" customHeight="1">
      <c r="A191" s="19"/>
      <c r="B191" s="19"/>
      <c r="C191" s="19"/>
      <c r="D191" s="19"/>
      <c r="E191" s="19"/>
      <c r="F191" s="19"/>
    </row>
    <row r="192" ht="15.75" customHeight="1">
      <c r="A192" s="19"/>
      <c r="B192" s="19"/>
      <c r="C192" s="19"/>
      <c r="D192" s="19"/>
      <c r="E192" s="19"/>
      <c r="F192" s="19"/>
    </row>
    <row r="193" ht="15.75" customHeight="1">
      <c r="A193" s="19"/>
      <c r="B193" s="19"/>
      <c r="C193" s="19"/>
      <c r="D193" s="19"/>
      <c r="E193" s="19"/>
      <c r="F193" s="19"/>
    </row>
    <row r="194" ht="15.75" customHeight="1">
      <c r="A194" s="19"/>
      <c r="B194" s="19"/>
      <c r="C194" s="19"/>
      <c r="D194" s="19"/>
      <c r="E194" s="19"/>
      <c r="F194" s="19"/>
    </row>
    <row r="195" ht="15.75" customHeight="1">
      <c r="A195" s="19"/>
      <c r="B195" s="19"/>
      <c r="C195" s="19"/>
      <c r="D195" s="19"/>
      <c r="E195" s="19"/>
      <c r="F195" s="19"/>
    </row>
    <row r="196" ht="15.75" customHeight="1">
      <c r="A196" s="19"/>
      <c r="B196" s="19"/>
      <c r="C196" s="19"/>
      <c r="D196" s="19"/>
      <c r="E196" s="19"/>
      <c r="F196" s="19"/>
    </row>
    <row r="197" ht="15.75" customHeight="1">
      <c r="A197" s="19"/>
      <c r="B197" s="19"/>
      <c r="C197" s="19"/>
      <c r="D197" s="19"/>
      <c r="E197" s="19"/>
      <c r="F197" s="19"/>
    </row>
    <row r="198" ht="15.75" customHeight="1">
      <c r="A198" s="19"/>
      <c r="B198" s="19"/>
      <c r="C198" s="19"/>
      <c r="D198" s="19"/>
      <c r="E198" s="19"/>
      <c r="F198" s="19"/>
    </row>
    <row r="199" ht="15.75" customHeight="1">
      <c r="A199" s="19"/>
      <c r="B199" s="19"/>
      <c r="C199" s="19"/>
      <c r="D199" s="19"/>
      <c r="E199" s="19"/>
      <c r="F199" s="19"/>
    </row>
    <row r="200" ht="15.75" customHeight="1">
      <c r="A200" s="19"/>
      <c r="B200" s="19"/>
      <c r="C200" s="19"/>
      <c r="D200" s="19"/>
      <c r="E200" s="19"/>
      <c r="F200" s="19"/>
    </row>
    <row r="201" ht="15.75" customHeight="1">
      <c r="A201" s="19"/>
      <c r="B201" s="19"/>
      <c r="C201" s="19"/>
      <c r="D201" s="19"/>
      <c r="E201" s="19"/>
      <c r="F201" s="19"/>
    </row>
    <row r="202" ht="15.75" customHeight="1">
      <c r="A202" s="19"/>
      <c r="B202" s="19"/>
      <c r="C202" s="19"/>
      <c r="D202" s="19"/>
      <c r="E202" s="19"/>
      <c r="F202" s="19"/>
    </row>
    <row r="203" ht="15.75" customHeight="1">
      <c r="A203" s="19"/>
      <c r="B203" s="19"/>
      <c r="C203" s="19"/>
      <c r="D203" s="19"/>
      <c r="E203" s="19"/>
      <c r="F203" s="19"/>
    </row>
    <row r="204" ht="15.75" customHeight="1">
      <c r="A204" s="19"/>
      <c r="B204" s="19"/>
      <c r="C204" s="19"/>
      <c r="D204" s="19"/>
      <c r="E204" s="19"/>
      <c r="F204" s="19"/>
    </row>
    <row r="205" ht="15.75" customHeight="1">
      <c r="A205" s="19"/>
      <c r="B205" s="19"/>
      <c r="C205" s="19"/>
      <c r="D205" s="19"/>
      <c r="E205" s="19"/>
      <c r="F205" s="19"/>
    </row>
    <row r="206" ht="15.75" customHeight="1">
      <c r="A206" s="19"/>
      <c r="B206" s="19"/>
      <c r="C206" s="19"/>
      <c r="D206" s="19"/>
      <c r="E206" s="19"/>
      <c r="F206" s="19"/>
    </row>
    <row r="207" ht="15.75" customHeight="1">
      <c r="A207" s="19"/>
      <c r="B207" s="19"/>
      <c r="C207" s="19"/>
      <c r="D207" s="19"/>
      <c r="E207" s="19"/>
      <c r="F207" s="19"/>
    </row>
    <row r="208" ht="15.75" customHeight="1">
      <c r="A208" s="19"/>
      <c r="B208" s="19"/>
      <c r="C208" s="19"/>
      <c r="D208" s="19"/>
      <c r="E208" s="19"/>
      <c r="F208" s="19"/>
    </row>
    <row r="209" ht="15.75" customHeight="1">
      <c r="A209" s="19"/>
      <c r="B209" s="19"/>
      <c r="C209" s="19"/>
      <c r="D209" s="19"/>
      <c r="E209" s="19"/>
      <c r="F209" s="19"/>
    </row>
    <row r="210" ht="15.75" customHeight="1">
      <c r="A210" s="19"/>
      <c r="B210" s="19"/>
      <c r="C210" s="19"/>
      <c r="D210" s="19"/>
      <c r="E210" s="19"/>
      <c r="F210" s="19"/>
    </row>
    <row r="211" ht="15.75" customHeight="1">
      <c r="A211" s="19"/>
      <c r="B211" s="19"/>
      <c r="C211" s="19"/>
      <c r="D211" s="19"/>
      <c r="E211" s="19"/>
      <c r="F211" s="19"/>
    </row>
    <row r="212" ht="15.75" customHeight="1">
      <c r="A212" s="19"/>
      <c r="B212" s="19"/>
      <c r="C212" s="19"/>
      <c r="D212" s="19"/>
      <c r="E212" s="19"/>
      <c r="F212" s="19"/>
    </row>
    <row r="213" ht="15.75" customHeight="1">
      <c r="A213" s="19"/>
      <c r="B213" s="19"/>
      <c r="C213" s="19"/>
      <c r="D213" s="19"/>
      <c r="E213" s="19"/>
      <c r="F213" s="19"/>
    </row>
    <row r="214" ht="15.75" customHeight="1">
      <c r="A214" s="19"/>
      <c r="B214" s="19"/>
      <c r="C214" s="19"/>
      <c r="D214" s="19"/>
      <c r="E214" s="19"/>
      <c r="F214" s="19"/>
    </row>
    <row r="215" ht="15.75" customHeight="1">
      <c r="A215" s="19"/>
      <c r="B215" s="19"/>
      <c r="C215" s="19"/>
      <c r="D215" s="19"/>
      <c r="E215" s="19"/>
      <c r="F215" s="19"/>
    </row>
    <row r="216" ht="15.75" customHeight="1">
      <c r="A216" s="19"/>
      <c r="B216" s="19"/>
      <c r="C216" s="19"/>
      <c r="D216" s="19"/>
      <c r="E216" s="19"/>
      <c r="F216" s="19"/>
    </row>
    <row r="217" ht="15.75" customHeight="1">
      <c r="A217" s="19"/>
      <c r="B217" s="19"/>
      <c r="C217" s="19"/>
      <c r="D217" s="19"/>
      <c r="E217" s="19"/>
      <c r="F217" s="19"/>
    </row>
    <row r="218" ht="15.75" customHeight="1">
      <c r="A218" s="19"/>
      <c r="B218" s="19"/>
      <c r="C218" s="19"/>
      <c r="D218" s="19"/>
      <c r="E218" s="19"/>
      <c r="F218" s="19"/>
    </row>
    <row r="219" ht="15.75" customHeight="1">
      <c r="A219" s="19"/>
      <c r="B219" s="19"/>
      <c r="C219" s="19"/>
      <c r="D219" s="19"/>
      <c r="E219" s="19"/>
      <c r="F219" s="19"/>
    </row>
    <row r="220" ht="15.75" customHeight="1">
      <c r="A220" s="19"/>
      <c r="B220" s="19"/>
      <c r="C220" s="19"/>
      <c r="D220" s="19"/>
      <c r="E220" s="19"/>
      <c r="F220" s="19"/>
    </row>
    <row r="221" ht="15.75" customHeight="1">
      <c r="A221" s="19"/>
      <c r="B221" s="19"/>
      <c r="C221" s="19"/>
      <c r="D221" s="19"/>
      <c r="E221" s="19"/>
      <c r="F221" s="19"/>
    </row>
    <row r="222" ht="15.75" customHeight="1">
      <c r="A222" s="19"/>
      <c r="B222" s="19"/>
      <c r="C222" s="19"/>
      <c r="D222" s="19"/>
      <c r="E222" s="19"/>
      <c r="F222" s="19"/>
    </row>
    <row r="223" ht="15.75" customHeight="1">
      <c r="A223" s="19"/>
      <c r="B223" s="19"/>
      <c r="C223" s="19"/>
      <c r="D223" s="19"/>
      <c r="E223" s="19"/>
      <c r="F223" s="19"/>
    </row>
    <row r="224" ht="15.75" customHeight="1">
      <c r="A224" s="19"/>
      <c r="B224" s="19"/>
      <c r="C224" s="19"/>
      <c r="D224" s="19"/>
      <c r="E224" s="19"/>
      <c r="F224" s="19"/>
    </row>
    <row r="225" ht="15.75" customHeight="1">
      <c r="A225" s="19"/>
      <c r="B225" s="19"/>
      <c r="C225" s="19"/>
      <c r="D225" s="19"/>
      <c r="E225" s="19"/>
      <c r="F225" s="19"/>
    </row>
    <row r="226" ht="15.75" customHeight="1">
      <c r="A226" s="19"/>
      <c r="B226" s="19"/>
      <c r="C226" s="19"/>
      <c r="D226" s="19"/>
      <c r="E226" s="19"/>
      <c r="F226" s="19"/>
    </row>
    <row r="227" ht="15.75" customHeight="1">
      <c r="A227" s="19"/>
      <c r="B227" s="19"/>
      <c r="C227" s="19"/>
      <c r="D227" s="19"/>
      <c r="E227" s="19"/>
      <c r="F227" s="19"/>
    </row>
    <row r="228" ht="15.75" customHeight="1">
      <c r="A228" s="19"/>
      <c r="B228" s="19"/>
      <c r="C228" s="19"/>
      <c r="D228" s="19"/>
      <c r="E228" s="19"/>
      <c r="F228" s="19"/>
    </row>
    <row r="229" ht="15.75" customHeight="1">
      <c r="A229" s="19"/>
      <c r="B229" s="19"/>
      <c r="C229" s="19"/>
      <c r="D229" s="19"/>
      <c r="E229" s="19"/>
      <c r="F229" s="19"/>
    </row>
    <row r="230" ht="15.75" customHeight="1">
      <c r="A230" s="19"/>
      <c r="B230" s="19"/>
      <c r="C230" s="19"/>
      <c r="D230" s="19"/>
      <c r="E230" s="19"/>
      <c r="F230" s="19"/>
    </row>
    <row r="231" ht="15.75" customHeight="1">
      <c r="A231" s="19"/>
      <c r="B231" s="19"/>
      <c r="C231" s="19"/>
      <c r="D231" s="19"/>
      <c r="E231" s="19"/>
      <c r="F231" s="19"/>
    </row>
    <row r="232" ht="15.75" customHeight="1">
      <c r="A232" s="19"/>
      <c r="B232" s="19"/>
      <c r="C232" s="19"/>
      <c r="D232" s="19"/>
      <c r="E232" s="19"/>
      <c r="F232" s="19"/>
    </row>
    <row r="233" ht="15.75" customHeight="1">
      <c r="A233" s="19"/>
      <c r="B233" s="19"/>
      <c r="C233" s="19"/>
      <c r="D233" s="19"/>
      <c r="E233" s="19"/>
      <c r="F233" s="19"/>
    </row>
    <row r="234" ht="15.75" customHeight="1">
      <c r="A234" s="19"/>
      <c r="B234" s="19"/>
      <c r="C234" s="19"/>
      <c r="D234" s="19"/>
      <c r="E234" s="19"/>
      <c r="F234" s="19"/>
    </row>
    <row r="235" ht="15.75" customHeight="1">
      <c r="A235" s="19"/>
      <c r="B235" s="19"/>
      <c r="C235" s="19"/>
      <c r="D235" s="19"/>
      <c r="E235" s="19"/>
      <c r="F235" s="19"/>
    </row>
    <row r="236" ht="15.75" customHeight="1">
      <c r="A236" s="19"/>
      <c r="B236" s="19"/>
      <c r="C236" s="19"/>
      <c r="D236" s="19"/>
      <c r="E236" s="19"/>
      <c r="F236" s="19"/>
    </row>
    <row r="237" ht="15.75" customHeight="1">
      <c r="A237" s="19"/>
      <c r="B237" s="19"/>
      <c r="C237" s="19"/>
      <c r="D237" s="19"/>
      <c r="E237" s="19"/>
      <c r="F237" s="19"/>
    </row>
    <row r="238" ht="15.75" customHeight="1">
      <c r="A238" s="19"/>
      <c r="B238" s="19"/>
      <c r="C238" s="19"/>
      <c r="D238" s="19"/>
      <c r="E238" s="19"/>
      <c r="F238" s="19"/>
    </row>
    <row r="239" ht="15.75" customHeight="1">
      <c r="A239" s="19"/>
      <c r="B239" s="19"/>
      <c r="C239" s="19"/>
      <c r="D239" s="19"/>
      <c r="E239" s="19"/>
      <c r="F239" s="19"/>
    </row>
    <row r="240" ht="15.75" customHeight="1">
      <c r="A240" s="19"/>
      <c r="B240" s="19"/>
      <c r="C240" s="19"/>
      <c r="D240" s="19"/>
      <c r="E240" s="19"/>
      <c r="F240" s="19"/>
    </row>
    <row r="241" ht="15.75" customHeight="1">
      <c r="A241" s="19"/>
      <c r="B241" s="19"/>
      <c r="C241" s="19"/>
      <c r="D241" s="19"/>
      <c r="E241" s="19"/>
      <c r="F241" s="19"/>
    </row>
    <row r="242" ht="15.75" customHeight="1">
      <c r="A242" s="19"/>
      <c r="B242" s="19"/>
      <c r="C242" s="19"/>
      <c r="D242" s="19"/>
      <c r="E242" s="19"/>
      <c r="F242" s="19"/>
    </row>
    <row r="243" ht="15.75" customHeight="1">
      <c r="A243" s="19"/>
      <c r="B243" s="19"/>
      <c r="C243" s="19"/>
      <c r="D243" s="19"/>
      <c r="E243" s="19"/>
      <c r="F243" s="19"/>
    </row>
    <row r="244" ht="15.75" customHeight="1">
      <c r="A244" s="19"/>
      <c r="B244" s="19"/>
      <c r="C244" s="19"/>
      <c r="D244" s="19"/>
      <c r="E244" s="19"/>
      <c r="F244" s="19"/>
    </row>
    <row r="245" ht="15.75" customHeight="1">
      <c r="A245" s="19"/>
      <c r="B245" s="19"/>
      <c r="C245" s="19"/>
      <c r="D245" s="19"/>
      <c r="E245" s="19"/>
      <c r="F245" s="19"/>
    </row>
    <row r="246" ht="15.75" customHeight="1">
      <c r="A246" s="19"/>
      <c r="B246" s="19"/>
      <c r="C246" s="19"/>
      <c r="D246" s="19"/>
      <c r="E246" s="19"/>
      <c r="F246" s="19"/>
    </row>
    <row r="247" ht="15.75" customHeight="1">
      <c r="A247" s="19"/>
      <c r="B247" s="19"/>
      <c r="C247" s="19"/>
      <c r="D247" s="19"/>
      <c r="E247" s="19"/>
      <c r="F247" s="19"/>
    </row>
    <row r="248" ht="15.75" customHeight="1">
      <c r="A248" s="19"/>
      <c r="B248" s="19"/>
      <c r="C248" s="19"/>
      <c r="D248" s="19"/>
      <c r="E248" s="19"/>
      <c r="F248" s="19"/>
    </row>
    <row r="249" ht="15.75" customHeight="1">
      <c r="A249" s="19"/>
      <c r="B249" s="19"/>
      <c r="C249" s="19"/>
      <c r="D249" s="19"/>
      <c r="E249" s="19"/>
      <c r="F249" s="19"/>
    </row>
    <row r="250" ht="15.75" customHeight="1">
      <c r="A250" s="19"/>
      <c r="B250" s="19"/>
      <c r="C250" s="19"/>
      <c r="D250" s="19"/>
      <c r="E250" s="19"/>
      <c r="F250" s="19"/>
    </row>
    <row r="251" ht="15.75" customHeight="1">
      <c r="A251" s="19"/>
      <c r="B251" s="19"/>
      <c r="C251" s="19"/>
      <c r="D251" s="19"/>
      <c r="E251" s="19"/>
      <c r="F251" s="19"/>
    </row>
    <row r="252" ht="15.75" customHeight="1">
      <c r="A252" s="19"/>
      <c r="B252" s="19"/>
      <c r="C252" s="19"/>
      <c r="D252" s="19"/>
      <c r="E252" s="19"/>
      <c r="F252" s="19"/>
    </row>
    <row r="253" ht="15.75" customHeight="1">
      <c r="A253" s="19"/>
      <c r="B253" s="19"/>
      <c r="C253" s="19"/>
      <c r="D253" s="19"/>
      <c r="E253" s="19"/>
      <c r="F253" s="19"/>
    </row>
    <row r="254" ht="15.75" customHeight="1">
      <c r="A254" s="19"/>
      <c r="B254" s="19"/>
      <c r="C254" s="19"/>
      <c r="D254" s="19"/>
      <c r="E254" s="19"/>
      <c r="F254" s="19"/>
    </row>
    <row r="255" ht="15.75" customHeight="1">
      <c r="A255" s="19"/>
      <c r="B255" s="19"/>
      <c r="C255" s="19"/>
      <c r="D255" s="19"/>
      <c r="E255" s="19"/>
      <c r="F255" s="19"/>
    </row>
    <row r="256" ht="15.75" customHeight="1">
      <c r="A256" s="19"/>
      <c r="B256" s="19"/>
      <c r="C256" s="19"/>
      <c r="D256" s="19"/>
      <c r="E256" s="19"/>
      <c r="F256" s="19"/>
    </row>
    <row r="257" ht="15.75" customHeight="1">
      <c r="A257" s="19"/>
      <c r="B257" s="19"/>
      <c r="C257" s="19"/>
      <c r="D257" s="19"/>
      <c r="E257" s="19"/>
      <c r="F257" s="19"/>
    </row>
    <row r="258" ht="15.75" customHeight="1">
      <c r="A258" s="19"/>
      <c r="B258" s="19"/>
      <c r="C258" s="19"/>
      <c r="D258" s="19"/>
      <c r="E258" s="19"/>
      <c r="F258" s="19"/>
    </row>
    <row r="259" ht="15.75" customHeight="1">
      <c r="A259" s="19"/>
      <c r="B259" s="19"/>
      <c r="C259" s="19"/>
      <c r="D259" s="19"/>
      <c r="E259" s="19"/>
      <c r="F259" s="19"/>
    </row>
    <row r="260" ht="15.75" customHeight="1">
      <c r="A260" s="19"/>
      <c r="B260" s="19"/>
      <c r="C260" s="19"/>
      <c r="D260" s="19"/>
      <c r="E260" s="19"/>
      <c r="F260" s="19"/>
    </row>
    <row r="261" ht="15.75" customHeight="1">
      <c r="A261" s="19"/>
      <c r="B261" s="19"/>
      <c r="C261" s="19"/>
      <c r="D261" s="19"/>
      <c r="E261" s="19"/>
      <c r="F261" s="19"/>
    </row>
    <row r="262" ht="15.75" customHeight="1">
      <c r="A262" s="19"/>
      <c r="B262" s="19"/>
      <c r="C262" s="19"/>
      <c r="D262" s="19"/>
      <c r="E262" s="19"/>
      <c r="F262" s="19"/>
    </row>
    <row r="263" ht="15.75" customHeight="1">
      <c r="A263" s="19"/>
      <c r="B263" s="19"/>
      <c r="C263" s="19"/>
      <c r="D263" s="19"/>
      <c r="E263" s="19"/>
      <c r="F263" s="19"/>
    </row>
    <row r="264" ht="15.75" customHeight="1">
      <c r="A264" s="19"/>
      <c r="B264" s="19"/>
      <c r="C264" s="19"/>
      <c r="D264" s="19"/>
      <c r="E264" s="19"/>
      <c r="F264" s="19"/>
    </row>
    <row r="265" ht="15.75" customHeight="1">
      <c r="A265" s="19"/>
      <c r="B265" s="19"/>
      <c r="C265" s="19"/>
      <c r="D265" s="19"/>
      <c r="E265" s="19"/>
      <c r="F265" s="19"/>
    </row>
    <row r="266" ht="15.75" customHeight="1">
      <c r="A266" s="19"/>
      <c r="B266" s="19"/>
      <c r="C266" s="19"/>
      <c r="D266" s="19"/>
      <c r="E266" s="19"/>
      <c r="F266" s="19"/>
    </row>
    <row r="267" ht="15.75" customHeight="1">
      <c r="A267" s="19"/>
      <c r="B267" s="19"/>
      <c r="C267" s="19"/>
      <c r="D267" s="19"/>
      <c r="E267" s="19"/>
      <c r="F267" s="19"/>
    </row>
    <row r="268" ht="15.75" customHeight="1">
      <c r="A268" s="19"/>
      <c r="B268" s="19"/>
      <c r="C268" s="19"/>
      <c r="D268" s="19"/>
      <c r="E268" s="19"/>
      <c r="F268" s="19"/>
    </row>
    <row r="269" ht="15.75" customHeight="1">
      <c r="A269" s="19"/>
      <c r="B269" s="19"/>
      <c r="C269" s="19"/>
      <c r="D269" s="19"/>
      <c r="E269" s="19"/>
      <c r="F269" s="19"/>
    </row>
    <row r="270" ht="15.75" customHeight="1">
      <c r="A270" s="19"/>
      <c r="B270" s="19"/>
      <c r="C270" s="19"/>
      <c r="D270" s="19"/>
      <c r="E270" s="19"/>
      <c r="F270" s="19"/>
    </row>
    <row r="271" ht="15.75" customHeight="1">
      <c r="A271" s="19"/>
      <c r="B271" s="19"/>
      <c r="C271" s="19"/>
      <c r="D271" s="19"/>
      <c r="E271" s="19"/>
      <c r="F271" s="19"/>
    </row>
    <row r="272" ht="15.75" customHeight="1">
      <c r="A272" s="19"/>
      <c r="B272" s="19"/>
      <c r="C272" s="19"/>
      <c r="D272" s="19"/>
      <c r="E272" s="19"/>
      <c r="F272" s="19"/>
    </row>
    <row r="273" ht="15.75" customHeight="1">
      <c r="A273" s="19"/>
      <c r="B273" s="19"/>
      <c r="C273" s="19"/>
      <c r="D273" s="19"/>
      <c r="E273" s="19"/>
      <c r="F273" s="19"/>
    </row>
    <row r="274" ht="15.75" customHeight="1">
      <c r="A274" s="19"/>
      <c r="B274" s="19"/>
      <c r="C274" s="19"/>
      <c r="D274" s="19"/>
      <c r="E274" s="19"/>
      <c r="F274" s="19"/>
    </row>
    <row r="275" ht="15.75" customHeight="1">
      <c r="A275" s="19"/>
      <c r="B275" s="19"/>
      <c r="C275" s="19"/>
      <c r="D275" s="19"/>
      <c r="E275" s="19"/>
      <c r="F275" s="19"/>
    </row>
    <row r="276" ht="15.75" customHeight="1">
      <c r="A276" s="19"/>
      <c r="B276" s="19"/>
      <c r="C276" s="19"/>
      <c r="D276" s="19"/>
      <c r="E276" s="19"/>
      <c r="F276" s="19"/>
    </row>
    <row r="277" ht="15.75" customHeight="1">
      <c r="A277" s="19"/>
      <c r="B277" s="19"/>
      <c r="C277" s="19"/>
      <c r="D277" s="19"/>
      <c r="E277" s="19"/>
      <c r="F277" s="19"/>
    </row>
    <row r="278" ht="15.75" customHeight="1">
      <c r="A278" s="19"/>
      <c r="B278" s="19"/>
      <c r="C278" s="19"/>
      <c r="D278" s="19"/>
      <c r="E278" s="19"/>
      <c r="F278" s="19"/>
    </row>
    <row r="279" ht="15.75" customHeight="1">
      <c r="A279" s="19"/>
      <c r="B279" s="19"/>
      <c r="C279" s="19"/>
      <c r="D279" s="19"/>
      <c r="E279" s="19"/>
      <c r="F279" s="19"/>
    </row>
    <row r="280" ht="15.75" customHeight="1">
      <c r="A280" s="19"/>
      <c r="B280" s="19"/>
      <c r="C280" s="19"/>
      <c r="D280" s="19"/>
      <c r="E280" s="19"/>
      <c r="F280" s="19"/>
    </row>
    <row r="281" ht="15.75" customHeight="1">
      <c r="A281" s="19"/>
      <c r="B281" s="19"/>
      <c r="C281" s="19"/>
      <c r="D281" s="19"/>
      <c r="E281" s="19"/>
      <c r="F281" s="19"/>
    </row>
    <row r="282" ht="15.75" customHeight="1">
      <c r="A282" s="19"/>
      <c r="B282" s="19"/>
      <c r="C282" s="19"/>
      <c r="D282" s="19"/>
      <c r="E282" s="19"/>
      <c r="F282" s="19"/>
    </row>
    <row r="283" ht="15.75" customHeight="1">
      <c r="A283" s="19"/>
      <c r="B283" s="19"/>
      <c r="C283" s="19"/>
      <c r="D283" s="19"/>
      <c r="E283" s="19"/>
      <c r="F283" s="19"/>
    </row>
    <row r="284" ht="15.75" customHeight="1">
      <c r="A284" s="19"/>
      <c r="B284" s="19"/>
      <c r="C284" s="19"/>
      <c r="D284" s="19"/>
      <c r="E284" s="19"/>
      <c r="F284" s="19"/>
    </row>
    <row r="285" ht="15.75" customHeight="1">
      <c r="A285" s="19"/>
      <c r="B285" s="19"/>
      <c r="C285" s="19"/>
      <c r="D285" s="19"/>
      <c r="E285" s="19"/>
      <c r="F285" s="19"/>
    </row>
    <row r="286" ht="15.75" customHeight="1">
      <c r="A286" s="19"/>
      <c r="B286" s="19"/>
      <c r="C286" s="19"/>
      <c r="D286" s="19"/>
      <c r="E286" s="19"/>
      <c r="F286" s="19"/>
    </row>
    <row r="287" ht="15.75" customHeight="1">
      <c r="A287" s="19"/>
      <c r="B287" s="19"/>
      <c r="C287" s="19"/>
      <c r="D287" s="19"/>
      <c r="E287" s="19"/>
      <c r="F287" s="19"/>
    </row>
    <row r="288" ht="15.75" customHeight="1">
      <c r="A288" s="19"/>
      <c r="B288" s="19"/>
      <c r="C288" s="19"/>
      <c r="D288" s="19"/>
      <c r="E288" s="19"/>
      <c r="F288" s="19"/>
    </row>
    <row r="289" ht="15.75" customHeight="1">
      <c r="A289" s="19"/>
      <c r="B289" s="19"/>
      <c r="C289" s="19"/>
      <c r="D289" s="19"/>
      <c r="E289" s="19"/>
      <c r="F289" s="19"/>
    </row>
    <row r="290" ht="15.75" customHeight="1">
      <c r="A290" s="19"/>
      <c r="B290" s="19"/>
      <c r="C290" s="19"/>
      <c r="D290" s="19"/>
      <c r="E290" s="19"/>
      <c r="F290" s="19"/>
    </row>
    <row r="291" ht="15.75" customHeight="1">
      <c r="A291" s="19"/>
      <c r="B291" s="19"/>
      <c r="C291" s="19"/>
      <c r="D291" s="19"/>
      <c r="E291" s="19"/>
      <c r="F291" s="19"/>
    </row>
    <row r="292" ht="15.75" customHeight="1">
      <c r="A292" s="19"/>
      <c r="B292" s="19"/>
      <c r="C292" s="19"/>
      <c r="D292" s="19"/>
      <c r="E292" s="19"/>
      <c r="F292" s="19"/>
    </row>
    <row r="293" ht="15.75" customHeight="1">
      <c r="A293" s="19"/>
      <c r="B293" s="19"/>
      <c r="C293" s="19"/>
      <c r="D293" s="19"/>
      <c r="E293" s="19"/>
      <c r="F293" s="19"/>
    </row>
    <row r="294" ht="15.75" customHeight="1">
      <c r="A294" s="19"/>
      <c r="B294" s="19"/>
      <c r="C294" s="19"/>
      <c r="D294" s="19"/>
      <c r="E294" s="19"/>
      <c r="F294" s="19"/>
    </row>
    <row r="295" ht="15.75" customHeight="1">
      <c r="A295" s="19"/>
      <c r="B295" s="19"/>
      <c r="C295" s="19"/>
      <c r="D295" s="19"/>
      <c r="E295" s="19"/>
      <c r="F295" s="19"/>
    </row>
    <row r="296" ht="15.75" customHeight="1">
      <c r="A296" s="19"/>
      <c r="B296" s="19"/>
      <c r="C296" s="19"/>
      <c r="D296" s="19"/>
      <c r="E296" s="19"/>
      <c r="F296" s="19"/>
    </row>
    <row r="297" ht="15.75" customHeight="1">
      <c r="A297" s="19"/>
      <c r="B297" s="19"/>
      <c r="C297" s="19"/>
      <c r="D297" s="19"/>
      <c r="E297" s="19"/>
      <c r="F297" s="19"/>
    </row>
    <row r="298" ht="15.75" customHeight="1">
      <c r="A298" s="19"/>
      <c r="B298" s="19"/>
      <c r="C298" s="19"/>
      <c r="D298" s="19"/>
      <c r="E298" s="19"/>
      <c r="F298" s="19"/>
    </row>
    <row r="299" ht="15.75" customHeight="1">
      <c r="A299" s="19"/>
      <c r="B299" s="19"/>
      <c r="C299" s="19"/>
      <c r="D299" s="19"/>
      <c r="E299" s="19"/>
      <c r="F299" s="19"/>
    </row>
    <row r="300" ht="15.75" customHeight="1">
      <c r="A300" s="19"/>
      <c r="B300" s="19"/>
      <c r="C300" s="19"/>
      <c r="D300" s="19"/>
      <c r="E300" s="19"/>
      <c r="F300" s="19"/>
    </row>
    <row r="301" ht="15.75" customHeight="1">
      <c r="A301" s="19"/>
      <c r="B301" s="19"/>
      <c r="C301" s="19"/>
      <c r="D301" s="19"/>
      <c r="E301" s="19"/>
      <c r="F301" s="19"/>
    </row>
    <row r="302" ht="15.75" customHeight="1">
      <c r="A302" s="19"/>
      <c r="B302" s="19"/>
      <c r="C302" s="19"/>
      <c r="D302" s="19"/>
      <c r="E302" s="19"/>
      <c r="F302" s="19"/>
    </row>
    <row r="303" ht="15.75" customHeight="1">
      <c r="A303" s="19"/>
      <c r="B303" s="19"/>
      <c r="C303" s="19"/>
      <c r="D303" s="19"/>
      <c r="E303" s="19"/>
      <c r="F303" s="19"/>
    </row>
    <row r="304" ht="15.75" customHeight="1">
      <c r="A304" s="19"/>
      <c r="B304" s="19"/>
      <c r="C304" s="19"/>
      <c r="D304" s="19"/>
      <c r="E304" s="19"/>
      <c r="F304" s="19"/>
    </row>
    <row r="305" ht="15.75" customHeight="1">
      <c r="A305" s="19"/>
      <c r="B305" s="19"/>
      <c r="C305" s="19"/>
      <c r="D305" s="19"/>
      <c r="E305" s="19"/>
      <c r="F305" s="19"/>
    </row>
    <row r="306" ht="15.75" customHeight="1">
      <c r="A306" s="19"/>
      <c r="B306" s="19"/>
      <c r="C306" s="19"/>
      <c r="D306" s="19"/>
      <c r="E306" s="19"/>
      <c r="F306" s="19"/>
    </row>
    <row r="307" ht="15.75" customHeight="1">
      <c r="A307" s="19"/>
      <c r="B307" s="19"/>
      <c r="C307" s="19"/>
      <c r="D307" s="19"/>
      <c r="E307" s="19"/>
      <c r="F307" s="19"/>
    </row>
    <row r="308" ht="15.75" customHeight="1">
      <c r="A308" s="19"/>
      <c r="B308" s="19"/>
      <c r="C308" s="19"/>
      <c r="D308" s="19"/>
      <c r="E308" s="19"/>
      <c r="F308" s="19"/>
    </row>
    <row r="309" ht="15.75" customHeight="1">
      <c r="A309" s="19"/>
      <c r="B309" s="19"/>
      <c r="C309" s="19"/>
      <c r="D309" s="19"/>
      <c r="E309" s="19"/>
      <c r="F309" s="19"/>
    </row>
    <row r="310" ht="15.75" customHeight="1">
      <c r="A310" s="19"/>
      <c r="B310" s="19"/>
      <c r="C310" s="19"/>
      <c r="D310" s="19"/>
      <c r="E310" s="19"/>
      <c r="F310" s="19"/>
    </row>
    <row r="311" ht="15.75" customHeight="1">
      <c r="A311" s="19"/>
      <c r="B311" s="19"/>
      <c r="C311" s="19"/>
      <c r="D311" s="19"/>
      <c r="E311" s="19"/>
      <c r="F311" s="19"/>
    </row>
    <row r="312" ht="15.75" customHeight="1">
      <c r="A312" s="19"/>
      <c r="B312" s="19"/>
      <c r="C312" s="19"/>
      <c r="D312" s="19"/>
      <c r="E312" s="19"/>
      <c r="F312" s="19"/>
    </row>
    <row r="313" ht="15.75" customHeight="1">
      <c r="A313" s="19"/>
      <c r="B313" s="19"/>
      <c r="C313" s="19"/>
      <c r="D313" s="19"/>
      <c r="E313" s="19"/>
      <c r="F313" s="19"/>
    </row>
    <row r="314" ht="15.75" customHeight="1">
      <c r="A314" s="19"/>
      <c r="B314" s="19"/>
      <c r="C314" s="19"/>
      <c r="D314" s="19"/>
      <c r="E314" s="19"/>
      <c r="F314" s="19"/>
    </row>
    <row r="315" ht="15.75" customHeight="1">
      <c r="A315" s="19"/>
      <c r="B315" s="19"/>
      <c r="C315" s="19"/>
      <c r="D315" s="19"/>
      <c r="E315" s="19"/>
      <c r="F315" s="19"/>
    </row>
    <row r="316" ht="15.75" customHeight="1">
      <c r="A316" s="19"/>
      <c r="B316" s="19"/>
      <c r="C316" s="19"/>
      <c r="D316" s="19"/>
      <c r="E316" s="19"/>
      <c r="F316" s="19"/>
    </row>
    <row r="317" ht="15.75" customHeight="1">
      <c r="A317" s="19"/>
      <c r="B317" s="19"/>
      <c r="C317" s="19"/>
      <c r="D317" s="19"/>
      <c r="E317" s="19"/>
      <c r="F317" s="19"/>
    </row>
    <row r="318" ht="15.75" customHeight="1">
      <c r="A318" s="19"/>
      <c r="B318" s="19"/>
      <c r="C318" s="19"/>
      <c r="D318" s="19"/>
      <c r="E318" s="19"/>
      <c r="F318" s="19"/>
    </row>
    <row r="319" ht="15.75" customHeight="1">
      <c r="A319" s="19"/>
      <c r="B319" s="19"/>
      <c r="C319" s="19"/>
      <c r="D319" s="19"/>
      <c r="E319" s="19"/>
      <c r="F319" s="19"/>
    </row>
    <row r="320" ht="15.75" customHeight="1">
      <c r="A320" s="19"/>
      <c r="B320" s="19"/>
      <c r="C320" s="19"/>
      <c r="D320" s="19"/>
      <c r="E320" s="19"/>
      <c r="F320" s="19"/>
    </row>
    <row r="321" ht="15.75" customHeight="1">
      <c r="A321" s="19"/>
      <c r="B321" s="19"/>
      <c r="C321" s="19"/>
      <c r="D321" s="19"/>
      <c r="E321" s="19"/>
      <c r="F321" s="19"/>
    </row>
    <row r="322" ht="15.75" customHeight="1">
      <c r="A322" s="19"/>
      <c r="B322" s="19"/>
      <c r="C322" s="19"/>
      <c r="D322" s="19"/>
      <c r="E322" s="19"/>
      <c r="F322" s="19"/>
    </row>
    <row r="323" ht="15.75" customHeight="1">
      <c r="A323" s="19"/>
      <c r="B323" s="19"/>
      <c r="C323" s="19"/>
      <c r="D323" s="19"/>
      <c r="E323" s="19"/>
      <c r="F323" s="19"/>
    </row>
    <row r="324" ht="15.75" customHeight="1">
      <c r="A324" s="19"/>
      <c r="B324" s="19"/>
      <c r="C324" s="19"/>
      <c r="D324" s="19"/>
      <c r="E324" s="19"/>
      <c r="F324" s="19"/>
    </row>
    <row r="325" ht="15.75" customHeight="1">
      <c r="A325" s="19"/>
      <c r="B325" s="19"/>
      <c r="C325" s="19"/>
      <c r="D325" s="19"/>
      <c r="E325" s="19"/>
      <c r="F325" s="19"/>
    </row>
    <row r="326" ht="15.75" customHeight="1">
      <c r="A326" s="19"/>
      <c r="B326" s="19"/>
      <c r="C326" s="19"/>
      <c r="D326" s="19"/>
      <c r="E326" s="19"/>
      <c r="F326" s="19"/>
    </row>
    <row r="327" ht="15.75" customHeight="1">
      <c r="A327" s="19"/>
      <c r="B327" s="19"/>
      <c r="C327" s="19"/>
      <c r="D327" s="19"/>
      <c r="E327" s="19"/>
      <c r="F327" s="19"/>
    </row>
    <row r="328" ht="15.75" customHeight="1">
      <c r="A328" s="19"/>
      <c r="B328" s="19"/>
      <c r="C328" s="19"/>
      <c r="D328" s="19"/>
      <c r="E328" s="19"/>
      <c r="F328" s="19"/>
    </row>
    <row r="329" ht="15.75" customHeight="1">
      <c r="A329" s="19"/>
      <c r="B329" s="19"/>
      <c r="C329" s="19"/>
      <c r="D329" s="19"/>
      <c r="E329" s="19"/>
      <c r="F329" s="19"/>
    </row>
    <row r="330" ht="15.75" customHeight="1">
      <c r="A330" s="19"/>
      <c r="B330" s="19"/>
      <c r="C330" s="19"/>
      <c r="D330" s="19"/>
      <c r="E330" s="19"/>
      <c r="F330" s="19"/>
    </row>
    <row r="331" ht="15.75" customHeight="1">
      <c r="A331" s="19"/>
      <c r="B331" s="19"/>
      <c r="C331" s="19"/>
      <c r="D331" s="19"/>
      <c r="E331" s="19"/>
      <c r="F331" s="19"/>
    </row>
    <row r="332" ht="15.75" customHeight="1">
      <c r="A332" s="19"/>
      <c r="B332" s="19"/>
      <c r="C332" s="19"/>
      <c r="D332" s="19"/>
      <c r="E332" s="19"/>
      <c r="F332" s="19"/>
    </row>
    <row r="333" ht="15.75" customHeight="1">
      <c r="A333" s="19"/>
      <c r="B333" s="19"/>
      <c r="C333" s="19"/>
      <c r="D333" s="19"/>
      <c r="E333" s="19"/>
      <c r="F333" s="19"/>
    </row>
    <row r="334" ht="15.75" customHeight="1">
      <c r="A334" s="19"/>
      <c r="B334" s="19"/>
      <c r="C334" s="19"/>
      <c r="D334" s="19"/>
      <c r="E334" s="19"/>
      <c r="F334" s="19"/>
    </row>
    <row r="335" ht="15.75" customHeight="1">
      <c r="A335" s="19"/>
      <c r="B335" s="19"/>
      <c r="C335" s="19"/>
      <c r="D335" s="19"/>
      <c r="E335" s="19"/>
      <c r="F335" s="19"/>
    </row>
    <row r="336" ht="15.75" customHeight="1">
      <c r="A336" s="19"/>
      <c r="B336" s="19"/>
      <c r="C336" s="19"/>
      <c r="D336" s="19"/>
      <c r="E336" s="19"/>
      <c r="F336" s="19"/>
    </row>
    <row r="337" ht="15.75" customHeight="1">
      <c r="A337" s="19"/>
      <c r="B337" s="19"/>
      <c r="C337" s="19"/>
      <c r="D337" s="19"/>
      <c r="E337" s="19"/>
      <c r="F337" s="19"/>
    </row>
    <row r="338" ht="15.75" customHeight="1">
      <c r="A338" s="19"/>
      <c r="B338" s="19"/>
      <c r="C338" s="19"/>
      <c r="D338" s="19"/>
      <c r="E338" s="19"/>
      <c r="F338" s="19"/>
    </row>
    <row r="339" ht="15.75" customHeight="1">
      <c r="A339" s="19"/>
      <c r="B339" s="19"/>
      <c r="C339" s="19"/>
      <c r="D339" s="19"/>
      <c r="E339" s="19"/>
      <c r="F339" s="19"/>
    </row>
    <row r="340" ht="15.75" customHeight="1">
      <c r="A340" s="19"/>
      <c r="B340" s="19"/>
      <c r="C340" s="19"/>
      <c r="D340" s="19"/>
      <c r="E340" s="19"/>
      <c r="F340" s="19"/>
    </row>
    <row r="341" ht="15.75" customHeight="1">
      <c r="A341" s="19"/>
      <c r="B341" s="19"/>
      <c r="C341" s="19"/>
      <c r="D341" s="19"/>
      <c r="E341" s="19"/>
      <c r="F341" s="19"/>
    </row>
    <row r="342" ht="15.75" customHeight="1">
      <c r="A342" s="19"/>
      <c r="B342" s="19"/>
      <c r="C342" s="19"/>
      <c r="D342" s="19"/>
      <c r="E342" s="19"/>
      <c r="F342" s="19"/>
    </row>
    <row r="343" ht="15.75" customHeight="1">
      <c r="A343" s="19"/>
      <c r="B343" s="19"/>
      <c r="C343" s="19"/>
      <c r="D343" s="19"/>
      <c r="E343" s="19"/>
      <c r="F343" s="19"/>
    </row>
    <row r="344" ht="15.75" customHeight="1">
      <c r="A344" s="19"/>
      <c r="B344" s="19"/>
      <c r="C344" s="19"/>
      <c r="D344" s="19"/>
      <c r="E344" s="19"/>
      <c r="F344" s="19"/>
    </row>
    <row r="345" ht="15.75" customHeight="1">
      <c r="A345" s="19"/>
      <c r="B345" s="19"/>
      <c r="C345" s="19"/>
      <c r="D345" s="19"/>
      <c r="E345" s="19"/>
      <c r="F345" s="19"/>
    </row>
    <row r="346" ht="15.75" customHeight="1">
      <c r="A346" s="19"/>
      <c r="B346" s="19"/>
      <c r="C346" s="19"/>
      <c r="D346" s="19"/>
      <c r="E346" s="19"/>
      <c r="F346" s="19"/>
    </row>
    <row r="347" ht="15.75" customHeight="1">
      <c r="A347" s="19"/>
      <c r="B347" s="19"/>
      <c r="C347" s="19"/>
      <c r="D347" s="19"/>
      <c r="E347" s="19"/>
      <c r="F347" s="19"/>
    </row>
    <row r="348" ht="15.75" customHeight="1">
      <c r="A348" s="19"/>
      <c r="B348" s="19"/>
      <c r="C348" s="19"/>
      <c r="D348" s="19"/>
      <c r="E348" s="19"/>
      <c r="F348" s="19"/>
    </row>
    <row r="349" ht="15.75" customHeight="1">
      <c r="A349" s="19"/>
      <c r="B349" s="19"/>
      <c r="C349" s="19"/>
      <c r="D349" s="19"/>
      <c r="E349" s="19"/>
      <c r="F349" s="19"/>
    </row>
    <row r="350" ht="15.75" customHeight="1">
      <c r="A350" s="19"/>
      <c r="B350" s="19"/>
      <c r="C350" s="19"/>
      <c r="D350" s="19"/>
      <c r="E350" s="19"/>
      <c r="F350" s="19"/>
    </row>
    <row r="351" ht="15.75" customHeight="1">
      <c r="A351" s="19"/>
      <c r="B351" s="19"/>
      <c r="C351" s="19"/>
      <c r="D351" s="19"/>
      <c r="E351" s="19"/>
      <c r="F351" s="19"/>
    </row>
    <row r="352" ht="15.75" customHeight="1">
      <c r="A352" s="19"/>
      <c r="B352" s="19"/>
      <c r="C352" s="19"/>
      <c r="D352" s="19"/>
      <c r="E352" s="19"/>
      <c r="F352" s="19"/>
    </row>
    <row r="353" ht="15.75" customHeight="1">
      <c r="A353" s="19"/>
      <c r="B353" s="19"/>
      <c r="C353" s="19"/>
      <c r="D353" s="19"/>
      <c r="E353" s="19"/>
      <c r="F353" s="19"/>
    </row>
    <row r="354" ht="15.75" customHeight="1">
      <c r="A354" s="19"/>
      <c r="B354" s="19"/>
      <c r="C354" s="19"/>
      <c r="D354" s="19"/>
      <c r="E354" s="19"/>
      <c r="F354" s="19"/>
    </row>
    <row r="355" ht="15.75" customHeight="1">
      <c r="A355" s="19"/>
      <c r="B355" s="19"/>
      <c r="C355" s="19"/>
      <c r="D355" s="19"/>
      <c r="E355" s="19"/>
      <c r="F355" s="19"/>
    </row>
    <row r="356" ht="15.75" customHeight="1">
      <c r="A356" s="19"/>
      <c r="B356" s="19"/>
      <c r="C356" s="19"/>
      <c r="D356" s="19"/>
      <c r="E356" s="19"/>
      <c r="F356" s="19"/>
    </row>
    <row r="357" ht="15.75" customHeight="1">
      <c r="A357" s="19"/>
      <c r="B357" s="19"/>
      <c r="C357" s="19"/>
      <c r="D357" s="19"/>
      <c r="E357" s="19"/>
      <c r="F357" s="19"/>
    </row>
    <row r="358" ht="15.75" customHeight="1">
      <c r="A358" s="19"/>
      <c r="B358" s="19"/>
      <c r="C358" s="19"/>
      <c r="D358" s="19"/>
      <c r="E358" s="19"/>
      <c r="F358" s="19"/>
    </row>
    <row r="359" ht="15.75" customHeight="1">
      <c r="A359" s="19"/>
      <c r="B359" s="19"/>
      <c r="C359" s="19"/>
      <c r="D359" s="19"/>
      <c r="E359" s="19"/>
      <c r="F359" s="19"/>
    </row>
    <row r="360" ht="15.75" customHeight="1">
      <c r="A360" s="19"/>
      <c r="B360" s="19"/>
      <c r="C360" s="19"/>
      <c r="D360" s="19"/>
      <c r="E360" s="19"/>
      <c r="F360" s="19"/>
    </row>
    <row r="361" ht="15.75" customHeight="1">
      <c r="A361" s="19"/>
      <c r="B361" s="19"/>
      <c r="C361" s="19"/>
      <c r="D361" s="19"/>
      <c r="E361" s="19"/>
      <c r="F361" s="19"/>
    </row>
    <row r="362" ht="15.75" customHeight="1">
      <c r="A362" s="19"/>
      <c r="B362" s="19"/>
      <c r="C362" s="19"/>
      <c r="D362" s="19"/>
      <c r="E362" s="19"/>
      <c r="F362" s="19"/>
    </row>
    <row r="363" ht="15.75" customHeight="1">
      <c r="A363" s="19"/>
      <c r="B363" s="19"/>
      <c r="C363" s="19"/>
      <c r="D363" s="19"/>
      <c r="E363" s="19"/>
      <c r="F363" s="19"/>
    </row>
    <row r="364" ht="15.75" customHeight="1">
      <c r="A364" s="19"/>
      <c r="B364" s="19"/>
      <c r="C364" s="19"/>
      <c r="D364" s="19"/>
      <c r="E364" s="19"/>
      <c r="F364" s="19"/>
    </row>
    <row r="365" ht="15.75" customHeight="1">
      <c r="A365" s="19"/>
      <c r="B365" s="19"/>
      <c r="C365" s="19"/>
      <c r="D365" s="19"/>
      <c r="E365" s="19"/>
      <c r="F365" s="19"/>
    </row>
    <row r="366" ht="15.75" customHeight="1">
      <c r="A366" s="19"/>
      <c r="B366" s="19"/>
      <c r="C366" s="19"/>
      <c r="D366" s="19"/>
      <c r="E366" s="19"/>
      <c r="F366" s="19"/>
    </row>
    <row r="367" ht="15.75" customHeight="1">
      <c r="A367" s="19"/>
      <c r="B367" s="19"/>
      <c r="C367" s="19"/>
      <c r="D367" s="19"/>
      <c r="E367" s="19"/>
      <c r="F367" s="19"/>
    </row>
    <row r="368" ht="15.75" customHeight="1">
      <c r="A368" s="19"/>
      <c r="B368" s="19"/>
      <c r="C368" s="19"/>
      <c r="D368" s="19"/>
      <c r="E368" s="19"/>
      <c r="F368" s="19"/>
    </row>
    <row r="369" ht="15.75" customHeight="1">
      <c r="A369" s="19"/>
      <c r="B369" s="19"/>
      <c r="C369" s="19"/>
      <c r="D369" s="19"/>
      <c r="E369" s="19"/>
      <c r="F369" s="19"/>
    </row>
    <row r="370" ht="15.75" customHeight="1">
      <c r="A370" s="19"/>
      <c r="B370" s="19"/>
      <c r="C370" s="19"/>
      <c r="D370" s="19"/>
      <c r="E370" s="19"/>
      <c r="F370" s="19"/>
    </row>
    <row r="371" ht="15.75" customHeight="1">
      <c r="A371" s="19"/>
      <c r="B371" s="19"/>
      <c r="C371" s="19"/>
      <c r="D371" s="19"/>
      <c r="E371" s="19"/>
      <c r="F371" s="19"/>
    </row>
    <row r="372" ht="15.75" customHeight="1">
      <c r="A372" s="19"/>
      <c r="B372" s="19"/>
      <c r="C372" s="19"/>
      <c r="D372" s="19"/>
      <c r="E372" s="19"/>
      <c r="F372" s="19"/>
    </row>
    <row r="373" ht="15.75" customHeight="1">
      <c r="A373" s="19"/>
      <c r="B373" s="19"/>
      <c r="C373" s="19"/>
      <c r="D373" s="19"/>
      <c r="E373" s="19"/>
      <c r="F373" s="19"/>
    </row>
    <row r="374" ht="15.75" customHeight="1">
      <c r="A374" s="19"/>
      <c r="B374" s="19"/>
      <c r="C374" s="19"/>
      <c r="D374" s="19"/>
      <c r="E374" s="19"/>
      <c r="F374" s="19"/>
    </row>
    <row r="375" ht="15.75" customHeight="1">
      <c r="A375" s="19"/>
      <c r="B375" s="19"/>
      <c r="C375" s="19"/>
      <c r="D375" s="19"/>
      <c r="E375" s="19"/>
      <c r="F375" s="19"/>
    </row>
    <row r="376" ht="15.75" customHeight="1">
      <c r="A376" s="19"/>
      <c r="B376" s="19"/>
      <c r="C376" s="19"/>
      <c r="D376" s="19"/>
      <c r="E376" s="19"/>
      <c r="F376" s="19"/>
    </row>
    <row r="377" ht="15.75" customHeight="1">
      <c r="A377" s="19"/>
      <c r="B377" s="19"/>
      <c r="C377" s="19"/>
      <c r="D377" s="19"/>
      <c r="E377" s="19"/>
      <c r="F377" s="19"/>
    </row>
    <row r="378" ht="15.75" customHeight="1">
      <c r="A378" s="19"/>
      <c r="B378" s="19"/>
      <c r="C378" s="19"/>
      <c r="D378" s="19"/>
      <c r="E378" s="19"/>
      <c r="F378" s="19"/>
    </row>
    <row r="379" ht="15.75" customHeight="1">
      <c r="A379" s="19"/>
      <c r="B379" s="19"/>
      <c r="C379" s="19"/>
      <c r="D379" s="19"/>
      <c r="E379" s="19"/>
      <c r="F379" s="19"/>
    </row>
    <row r="380" ht="15.75" customHeight="1">
      <c r="A380" s="19"/>
      <c r="B380" s="19"/>
      <c r="C380" s="19"/>
      <c r="D380" s="19"/>
      <c r="E380" s="19"/>
      <c r="F380" s="19"/>
    </row>
    <row r="381" ht="15.75" customHeight="1">
      <c r="A381" s="19"/>
      <c r="B381" s="19"/>
      <c r="C381" s="19"/>
      <c r="D381" s="19"/>
      <c r="E381" s="19"/>
      <c r="F381" s="19"/>
    </row>
    <row r="382" ht="15.75" customHeight="1">
      <c r="A382" s="19"/>
      <c r="B382" s="19"/>
      <c r="C382" s="19"/>
      <c r="D382" s="19"/>
      <c r="E382" s="19"/>
      <c r="F382" s="19"/>
    </row>
    <row r="383" ht="15.75" customHeight="1">
      <c r="A383" s="19"/>
      <c r="B383" s="19"/>
      <c r="C383" s="19"/>
      <c r="D383" s="19"/>
      <c r="E383" s="19"/>
      <c r="F383" s="19"/>
    </row>
    <row r="384" ht="15.75" customHeight="1">
      <c r="A384" s="19"/>
      <c r="B384" s="19"/>
      <c r="C384" s="19"/>
      <c r="D384" s="19"/>
      <c r="E384" s="19"/>
      <c r="F384" s="19"/>
    </row>
    <row r="385" ht="15.75" customHeight="1">
      <c r="A385" s="19"/>
      <c r="B385" s="19"/>
      <c r="C385" s="19"/>
      <c r="D385" s="19"/>
      <c r="E385" s="19"/>
      <c r="F385" s="19"/>
    </row>
    <row r="386" ht="15.75" customHeight="1">
      <c r="A386" s="19"/>
      <c r="B386" s="19"/>
      <c r="C386" s="19"/>
      <c r="D386" s="19"/>
      <c r="E386" s="19"/>
      <c r="F386" s="19"/>
    </row>
    <row r="387" ht="15.75" customHeight="1">
      <c r="A387" s="19"/>
      <c r="B387" s="19"/>
      <c r="C387" s="19"/>
      <c r="D387" s="19"/>
      <c r="E387" s="19"/>
      <c r="F387" s="19"/>
    </row>
    <row r="388" ht="15.75" customHeight="1">
      <c r="A388" s="19"/>
      <c r="B388" s="19"/>
      <c r="C388" s="19"/>
      <c r="D388" s="19"/>
      <c r="E388" s="19"/>
      <c r="F388" s="19"/>
    </row>
    <row r="389" ht="15.75" customHeight="1">
      <c r="A389" s="19"/>
      <c r="B389" s="19"/>
      <c r="C389" s="19"/>
      <c r="D389" s="19"/>
      <c r="E389" s="19"/>
      <c r="F389" s="19"/>
    </row>
    <row r="390" ht="15.75" customHeight="1">
      <c r="A390" s="19"/>
      <c r="B390" s="19"/>
      <c r="C390" s="19"/>
      <c r="D390" s="19"/>
      <c r="E390" s="19"/>
      <c r="F390" s="19"/>
    </row>
    <row r="391" ht="15.75" customHeight="1">
      <c r="A391" s="19"/>
      <c r="B391" s="19"/>
      <c r="C391" s="19"/>
      <c r="D391" s="19"/>
      <c r="E391" s="19"/>
      <c r="F391" s="19"/>
    </row>
    <row r="392" ht="15.75" customHeight="1">
      <c r="A392" s="19"/>
      <c r="B392" s="19"/>
      <c r="C392" s="19"/>
      <c r="D392" s="19"/>
      <c r="E392" s="19"/>
      <c r="F392" s="19"/>
    </row>
    <row r="393" ht="15.75" customHeight="1">
      <c r="A393" s="19"/>
      <c r="B393" s="19"/>
      <c r="C393" s="19"/>
      <c r="D393" s="19"/>
      <c r="E393" s="19"/>
      <c r="F393" s="19"/>
    </row>
    <row r="394" ht="15.75" customHeight="1">
      <c r="A394" s="19"/>
      <c r="B394" s="19"/>
      <c r="C394" s="19"/>
      <c r="D394" s="19"/>
      <c r="E394" s="19"/>
      <c r="F394" s="19"/>
    </row>
    <row r="395" ht="15.75" customHeight="1">
      <c r="A395" s="19"/>
      <c r="B395" s="19"/>
      <c r="C395" s="19"/>
      <c r="D395" s="19"/>
      <c r="E395" s="19"/>
      <c r="F395" s="19"/>
    </row>
    <row r="396" ht="15.75" customHeight="1">
      <c r="A396" s="19"/>
      <c r="B396" s="19"/>
      <c r="C396" s="19"/>
      <c r="D396" s="19"/>
      <c r="E396" s="19"/>
      <c r="F396" s="19"/>
    </row>
    <row r="397" ht="15.75" customHeight="1">
      <c r="A397" s="19"/>
      <c r="B397" s="19"/>
      <c r="C397" s="19"/>
      <c r="D397" s="19"/>
      <c r="E397" s="19"/>
      <c r="F397" s="19"/>
    </row>
    <row r="398" ht="15.75" customHeight="1">
      <c r="A398" s="19"/>
      <c r="B398" s="19"/>
      <c r="C398" s="19"/>
      <c r="D398" s="19"/>
      <c r="E398" s="19"/>
      <c r="F398" s="19"/>
    </row>
    <row r="399" ht="15.75" customHeight="1">
      <c r="A399" s="19"/>
      <c r="B399" s="19"/>
      <c r="C399" s="19"/>
      <c r="D399" s="19"/>
      <c r="E399" s="19"/>
      <c r="F399" s="19"/>
    </row>
    <row r="400" ht="15.75" customHeight="1">
      <c r="A400" s="19"/>
      <c r="B400" s="19"/>
      <c r="C400" s="19"/>
      <c r="D400" s="19"/>
      <c r="E400" s="19"/>
      <c r="F400" s="19"/>
    </row>
    <row r="401" ht="15.75" customHeight="1">
      <c r="A401" s="19"/>
      <c r="B401" s="19"/>
      <c r="C401" s="19"/>
      <c r="D401" s="19"/>
      <c r="E401" s="19"/>
      <c r="F401" s="19"/>
    </row>
    <row r="402" ht="15.75" customHeight="1">
      <c r="A402" s="19"/>
      <c r="B402" s="19"/>
      <c r="C402" s="19"/>
      <c r="D402" s="19"/>
      <c r="E402" s="19"/>
      <c r="F402" s="19"/>
    </row>
    <row r="403" ht="15.75" customHeight="1">
      <c r="A403" s="19"/>
      <c r="B403" s="19"/>
      <c r="C403" s="19"/>
      <c r="D403" s="19"/>
      <c r="E403" s="19"/>
      <c r="F403" s="19"/>
    </row>
    <row r="404" ht="15.75" customHeight="1">
      <c r="A404" s="19"/>
      <c r="B404" s="19"/>
      <c r="C404" s="19"/>
      <c r="D404" s="19"/>
      <c r="E404" s="19"/>
      <c r="F404" s="19"/>
    </row>
    <row r="405" ht="15.75" customHeight="1">
      <c r="A405" s="19"/>
      <c r="B405" s="19"/>
      <c r="C405" s="19"/>
      <c r="D405" s="19"/>
      <c r="E405" s="19"/>
      <c r="F405" s="19"/>
    </row>
    <row r="406" ht="15.75" customHeight="1">
      <c r="A406" s="19"/>
      <c r="B406" s="19"/>
      <c r="C406" s="19"/>
      <c r="D406" s="19"/>
      <c r="E406" s="19"/>
      <c r="F406" s="19"/>
    </row>
    <row r="407" ht="15.75" customHeight="1">
      <c r="A407" s="19"/>
      <c r="B407" s="19"/>
      <c r="C407" s="19"/>
      <c r="D407" s="19"/>
      <c r="E407" s="19"/>
      <c r="F407" s="19"/>
    </row>
    <row r="408" ht="15.75" customHeight="1">
      <c r="A408" s="19"/>
      <c r="B408" s="19"/>
      <c r="C408" s="19"/>
      <c r="D408" s="19"/>
      <c r="E408" s="19"/>
      <c r="F408" s="19"/>
    </row>
    <row r="409" ht="15.75" customHeight="1">
      <c r="A409" s="19"/>
      <c r="B409" s="19"/>
      <c r="C409" s="19"/>
      <c r="D409" s="19"/>
      <c r="E409" s="19"/>
      <c r="F409" s="19"/>
    </row>
    <row r="410" ht="15.75" customHeight="1">
      <c r="A410" s="19"/>
      <c r="B410" s="19"/>
      <c r="C410" s="19"/>
      <c r="D410" s="19"/>
      <c r="E410" s="19"/>
      <c r="F410" s="19"/>
    </row>
    <row r="411" ht="15.75" customHeight="1">
      <c r="A411" s="19"/>
      <c r="B411" s="19"/>
      <c r="C411" s="19"/>
      <c r="D411" s="19"/>
      <c r="E411" s="19"/>
      <c r="F411" s="19"/>
    </row>
    <row r="412" ht="15.75" customHeight="1">
      <c r="A412" s="19"/>
      <c r="B412" s="19"/>
      <c r="C412" s="19"/>
      <c r="D412" s="19"/>
      <c r="E412" s="19"/>
      <c r="F412" s="19"/>
    </row>
    <row r="413" ht="15.75" customHeight="1">
      <c r="A413" s="19"/>
      <c r="B413" s="19"/>
      <c r="C413" s="19"/>
      <c r="D413" s="19"/>
      <c r="E413" s="19"/>
      <c r="F413" s="19"/>
    </row>
    <row r="414" ht="15.75" customHeight="1">
      <c r="A414" s="19"/>
      <c r="B414" s="19"/>
      <c r="C414" s="19"/>
      <c r="D414" s="19"/>
      <c r="E414" s="19"/>
      <c r="F414" s="19"/>
    </row>
    <row r="415" ht="15.75" customHeight="1">
      <c r="A415" s="19"/>
      <c r="B415" s="19"/>
      <c r="C415" s="19"/>
      <c r="D415" s="19"/>
      <c r="E415" s="19"/>
      <c r="F415" s="19"/>
    </row>
    <row r="416" ht="15.75" customHeight="1">
      <c r="A416" s="19"/>
      <c r="B416" s="19"/>
      <c r="C416" s="19"/>
      <c r="D416" s="19"/>
      <c r="E416" s="19"/>
      <c r="F416" s="19"/>
    </row>
    <row r="417" ht="15.75" customHeight="1">
      <c r="A417" s="19"/>
      <c r="B417" s="19"/>
      <c r="C417" s="19"/>
      <c r="D417" s="19"/>
      <c r="E417" s="19"/>
      <c r="F417" s="19"/>
    </row>
    <row r="418" ht="15.75" customHeight="1">
      <c r="A418" s="19"/>
      <c r="B418" s="19"/>
      <c r="C418" s="19"/>
      <c r="D418" s="19"/>
      <c r="E418" s="19"/>
      <c r="F418" s="19"/>
    </row>
    <row r="419" ht="15.75" customHeight="1">
      <c r="A419" s="19"/>
      <c r="B419" s="19"/>
      <c r="C419" s="19"/>
      <c r="D419" s="19"/>
      <c r="E419" s="19"/>
      <c r="F419" s="19"/>
    </row>
    <row r="420" ht="15.75" customHeight="1">
      <c r="A420" s="19"/>
      <c r="B420" s="19"/>
      <c r="C420" s="19"/>
      <c r="D420" s="19"/>
      <c r="E420" s="19"/>
      <c r="F420" s="19"/>
    </row>
    <row r="421" ht="15.75" customHeight="1">
      <c r="A421" s="19"/>
      <c r="B421" s="19"/>
      <c r="C421" s="19"/>
      <c r="D421" s="19"/>
      <c r="E421" s="19"/>
      <c r="F421" s="19"/>
    </row>
    <row r="422" ht="15.75" customHeight="1">
      <c r="A422" s="19"/>
      <c r="B422" s="19"/>
      <c r="C422" s="19"/>
      <c r="D422" s="19"/>
      <c r="E422" s="19"/>
      <c r="F422" s="19"/>
    </row>
    <row r="423" ht="15.75" customHeight="1">
      <c r="A423" s="19"/>
      <c r="B423" s="19"/>
      <c r="C423" s="19"/>
      <c r="D423" s="19"/>
      <c r="E423" s="19"/>
      <c r="F423" s="19"/>
    </row>
    <row r="424" ht="15.75" customHeight="1">
      <c r="A424" s="19"/>
      <c r="B424" s="19"/>
      <c r="C424" s="19"/>
      <c r="D424" s="19"/>
      <c r="E424" s="19"/>
      <c r="F424" s="19"/>
    </row>
    <row r="425" ht="15.75" customHeight="1">
      <c r="A425" s="19"/>
      <c r="B425" s="19"/>
      <c r="C425" s="19"/>
      <c r="D425" s="19"/>
      <c r="E425" s="19"/>
      <c r="F425" s="19"/>
    </row>
    <row r="426" ht="15.75" customHeight="1">
      <c r="A426" s="19"/>
      <c r="B426" s="19"/>
      <c r="C426" s="19"/>
      <c r="D426" s="19"/>
      <c r="E426" s="19"/>
      <c r="F426" s="19"/>
    </row>
    <row r="427" ht="15.75" customHeight="1">
      <c r="A427" s="19"/>
      <c r="B427" s="19"/>
      <c r="C427" s="19"/>
      <c r="D427" s="19"/>
      <c r="E427" s="19"/>
      <c r="F427" s="19"/>
    </row>
    <row r="428" ht="15.75" customHeight="1">
      <c r="A428" s="19"/>
      <c r="B428" s="19"/>
      <c r="C428" s="19"/>
      <c r="D428" s="19"/>
      <c r="E428" s="19"/>
      <c r="F428" s="19"/>
    </row>
    <row r="429" ht="15.75" customHeight="1">
      <c r="A429" s="19"/>
      <c r="B429" s="19"/>
      <c r="C429" s="19"/>
      <c r="D429" s="19"/>
      <c r="E429" s="19"/>
      <c r="F429" s="19"/>
    </row>
    <row r="430" ht="15.75" customHeight="1">
      <c r="A430" s="19"/>
      <c r="B430" s="19"/>
      <c r="C430" s="19"/>
      <c r="D430" s="19"/>
      <c r="E430" s="19"/>
      <c r="F430" s="19"/>
    </row>
    <row r="431" ht="15.75" customHeight="1">
      <c r="A431" s="19"/>
      <c r="B431" s="19"/>
      <c r="C431" s="19"/>
      <c r="D431" s="19"/>
      <c r="E431" s="19"/>
      <c r="F431" s="19"/>
    </row>
    <row r="432" ht="15.75" customHeight="1">
      <c r="A432" s="19"/>
      <c r="B432" s="19"/>
      <c r="C432" s="19"/>
      <c r="D432" s="19"/>
      <c r="E432" s="19"/>
      <c r="F432" s="19"/>
    </row>
    <row r="433" ht="15.75" customHeight="1">
      <c r="A433" s="19"/>
      <c r="B433" s="19"/>
      <c r="C433" s="19"/>
      <c r="D433" s="19"/>
      <c r="E433" s="19"/>
      <c r="F433" s="19"/>
    </row>
    <row r="434" ht="15.75" customHeight="1">
      <c r="A434" s="19"/>
      <c r="B434" s="19"/>
      <c r="C434" s="19"/>
      <c r="D434" s="19"/>
      <c r="E434" s="19"/>
      <c r="F434" s="19"/>
    </row>
    <row r="435" ht="15.75" customHeight="1">
      <c r="A435" s="19"/>
      <c r="B435" s="19"/>
      <c r="C435" s="19"/>
      <c r="D435" s="19"/>
      <c r="E435" s="19"/>
      <c r="F435" s="19"/>
    </row>
    <row r="436" ht="15.75" customHeight="1">
      <c r="A436" s="19"/>
      <c r="B436" s="19"/>
      <c r="C436" s="19"/>
      <c r="D436" s="19"/>
      <c r="E436" s="19"/>
      <c r="F436" s="19"/>
    </row>
    <row r="437" ht="15.75" customHeight="1">
      <c r="A437" s="19"/>
      <c r="B437" s="19"/>
      <c r="C437" s="19"/>
      <c r="D437" s="19"/>
      <c r="E437" s="19"/>
      <c r="F437" s="19"/>
    </row>
    <row r="438" ht="15.75" customHeight="1">
      <c r="A438" s="19"/>
      <c r="B438" s="19"/>
      <c r="C438" s="19"/>
      <c r="D438" s="19"/>
      <c r="E438" s="19"/>
      <c r="F438" s="19"/>
    </row>
    <row r="439" ht="15.75" customHeight="1">
      <c r="A439" s="19"/>
      <c r="B439" s="19"/>
      <c r="C439" s="19"/>
      <c r="D439" s="19"/>
      <c r="E439" s="19"/>
      <c r="F439" s="19"/>
    </row>
    <row r="440" ht="15.75" customHeight="1">
      <c r="A440" s="19"/>
      <c r="B440" s="19"/>
      <c r="C440" s="19"/>
      <c r="D440" s="19"/>
      <c r="E440" s="19"/>
      <c r="F440" s="19"/>
    </row>
    <row r="441" ht="15.75" customHeight="1">
      <c r="A441" s="19"/>
      <c r="B441" s="19"/>
      <c r="C441" s="19"/>
      <c r="D441" s="19"/>
      <c r="E441" s="19"/>
      <c r="F441" s="19"/>
    </row>
    <row r="442" ht="15.75" customHeight="1">
      <c r="A442" s="19"/>
      <c r="B442" s="19"/>
      <c r="C442" s="19"/>
      <c r="D442" s="19"/>
      <c r="E442" s="19"/>
      <c r="F442" s="19"/>
    </row>
    <row r="443" ht="15.75" customHeight="1">
      <c r="A443" s="19"/>
      <c r="B443" s="19"/>
      <c r="C443" s="19"/>
      <c r="D443" s="19"/>
      <c r="E443" s="19"/>
      <c r="F443" s="19"/>
    </row>
    <row r="444" ht="15.75" customHeight="1">
      <c r="A444" s="19"/>
      <c r="B444" s="19"/>
      <c r="C444" s="19"/>
      <c r="D444" s="19"/>
      <c r="E444" s="19"/>
      <c r="F444" s="19"/>
    </row>
    <row r="445" ht="15.75" customHeight="1">
      <c r="A445" s="19"/>
      <c r="B445" s="19"/>
      <c r="C445" s="19"/>
      <c r="D445" s="19"/>
      <c r="E445" s="19"/>
      <c r="F445" s="19"/>
    </row>
    <row r="446" ht="15.75" customHeight="1">
      <c r="A446" s="19"/>
      <c r="B446" s="19"/>
      <c r="C446" s="19"/>
      <c r="D446" s="19"/>
      <c r="E446" s="19"/>
      <c r="F446" s="19"/>
    </row>
    <row r="447" ht="15.75" customHeight="1">
      <c r="A447" s="19"/>
      <c r="B447" s="19"/>
      <c r="C447" s="19"/>
      <c r="D447" s="19"/>
      <c r="E447" s="19"/>
      <c r="F447" s="19"/>
    </row>
    <row r="448" ht="15.75" customHeight="1">
      <c r="A448" s="19"/>
      <c r="B448" s="19"/>
      <c r="C448" s="19"/>
      <c r="D448" s="19"/>
      <c r="E448" s="19"/>
      <c r="F448" s="19"/>
    </row>
    <row r="449" ht="15.75" customHeight="1">
      <c r="A449" s="19"/>
      <c r="B449" s="19"/>
      <c r="C449" s="19"/>
      <c r="D449" s="19"/>
      <c r="E449" s="19"/>
      <c r="F449" s="19"/>
    </row>
    <row r="450" ht="15.75" customHeight="1">
      <c r="A450" s="19"/>
      <c r="B450" s="19"/>
      <c r="C450" s="19"/>
      <c r="D450" s="19"/>
      <c r="E450" s="19"/>
      <c r="F450" s="19"/>
    </row>
    <row r="451" ht="15.75" customHeight="1">
      <c r="A451" s="19"/>
      <c r="B451" s="19"/>
      <c r="C451" s="19"/>
      <c r="D451" s="19"/>
      <c r="E451" s="19"/>
      <c r="F451" s="19"/>
    </row>
    <row r="452" ht="15.75" customHeight="1">
      <c r="A452" s="19"/>
      <c r="B452" s="19"/>
      <c r="C452" s="19"/>
      <c r="D452" s="19"/>
      <c r="E452" s="19"/>
      <c r="F452" s="19"/>
    </row>
    <row r="453" ht="15.75" customHeight="1">
      <c r="A453" s="19"/>
      <c r="B453" s="19"/>
      <c r="C453" s="19"/>
      <c r="D453" s="19"/>
      <c r="E453" s="19"/>
      <c r="F453" s="19"/>
    </row>
    <row r="454" ht="15.75" customHeight="1">
      <c r="A454" s="19"/>
      <c r="B454" s="19"/>
      <c r="C454" s="19"/>
      <c r="D454" s="19"/>
      <c r="E454" s="19"/>
      <c r="F454" s="19"/>
    </row>
    <row r="455" ht="15.75" customHeight="1">
      <c r="A455" s="19"/>
      <c r="B455" s="19"/>
      <c r="C455" s="19"/>
      <c r="D455" s="19"/>
      <c r="E455" s="19"/>
      <c r="F455" s="19"/>
    </row>
    <row r="456" ht="15.75" customHeight="1">
      <c r="A456" s="19"/>
      <c r="B456" s="19"/>
      <c r="C456" s="19"/>
      <c r="D456" s="19"/>
      <c r="E456" s="19"/>
      <c r="F456" s="19"/>
    </row>
    <row r="457" ht="15.75" customHeight="1">
      <c r="A457" s="19"/>
      <c r="B457" s="19"/>
      <c r="C457" s="19"/>
      <c r="D457" s="19"/>
      <c r="E457" s="19"/>
      <c r="F457" s="19"/>
    </row>
    <row r="458" ht="15.75" customHeight="1">
      <c r="A458" s="19"/>
      <c r="B458" s="19"/>
      <c r="C458" s="19"/>
      <c r="D458" s="19"/>
      <c r="E458" s="19"/>
      <c r="F458" s="19"/>
    </row>
    <row r="459" ht="15.75" customHeight="1">
      <c r="A459" s="19"/>
      <c r="B459" s="19"/>
      <c r="C459" s="19"/>
      <c r="D459" s="19"/>
      <c r="E459" s="19"/>
      <c r="F459" s="19"/>
    </row>
    <row r="460" ht="15.75" customHeight="1">
      <c r="A460" s="19"/>
      <c r="B460" s="19"/>
      <c r="C460" s="19"/>
      <c r="D460" s="19"/>
      <c r="E460" s="19"/>
      <c r="F460" s="19"/>
    </row>
    <row r="461" ht="15.75" customHeight="1">
      <c r="A461" s="19"/>
      <c r="B461" s="19"/>
      <c r="C461" s="19"/>
      <c r="D461" s="19"/>
      <c r="E461" s="19"/>
      <c r="F461" s="19"/>
    </row>
    <row r="462" ht="15.75" customHeight="1">
      <c r="A462" s="19"/>
      <c r="B462" s="19"/>
      <c r="C462" s="19"/>
      <c r="D462" s="19"/>
      <c r="E462" s="19"/>
      <c r="F462" s="19"/>
    </row>
    <row r="463" ht="15.75" customHeight="1">
      <c r="A463" s="19"/>
      <c r="B463" s="19"/>
      <c r="C463" s="19"/>
      <c r="D463" s="19"/>
      <c r="E463" s="19"/>
      <c r="F463" s="19"/>
    </row>
    <row r="464" ht="15.75" customHeight="1">
      <c r="A464" s="19"/>
      <c r="B464" s="19"/>
      <c r="C464" s="19"/>
      <c r="D464" s="19"/>
      <c r="E464" s="19"/>
      <c r="F464" s="19"/>
    </row>
    <row r="465" ht="15.75" customHeight="1">
      <c r="A465" s="19"/>
      <c r="B465" s="19"/>
      <c r="C465" s="19"/>
      <c r="D465" s="19"/>
      <c r="E465" s="19"/>
      <c r="F465" s="19"/>
    </row>
    <row r="466" ht="15.75" customHeight="1">
      <c r="A466" s="19"/>
      <c r="B466" s="19"/>
      <c r="C466" s="19"/>
      <c r="D466" s="19"/>
      <c r="E466" s="19"/>
      <c r="F466" s="19"/>
    </row>
    <row r="467" ht="15.75" customHeight="1">
      <c r="A467" s="19"/>
      <c r="B467" s="19"/>
      <c r="C467" s="19"/>
      <c r="D467" s="19"/>
      <c r="E467" s="19"/>
      <c r="F467" s="19"/>
    </row>
    <row r="468" ht="15.75" customHeight="1">
      <c r="A468" s="19"/>
      <c r="B468" s="19"/>
      <c r="C468" s="19"/>
      <c r="D468" s="19"/>
      <c r="E468" s="19"/>
      <c r="F468" s="19"/>
    </row>
    <row r="469" ht="15.75" customHeight="1">
      <c r="A469" s="19"/>
      <c r="B469" s="19"/>
      <c r="C469" s="19"/>
      <c r="D469" s="19"/>
      <c r="E469" s="19"/>
      <c r="F469" s="19"/>
    </row>
    <row r="470" ht="15.75" customHeight="1">
      <c r="A470" s="19"/>
      <c r="B470" s="19"/>
      <c r="C470" s="19"/>
      <c r="D470" s="19"/>
      <c r="E470" s="19"/>
      <c r="F470" s="19"/>
    </row>
    <row r="471" ht="15.75" customHeight="1">
      <c r="A471" s="19"/>
      <c r="B471" s="19"/>
      <c r="C471" s="19"/>
      <c r="D471" s="19"/>
      <c r="E471" s="19"/>
      <c r="F471" s="19"/>
    </row>
    <row r="472" ht="15.75" customHeight="1">
      <c r="A472" s="19"/>
      <c r="B472" s="19"/>
      <c r="C472" s="19"/>
      <c r="D472" s="19"/>
      <c r="E472" s="19"/>
      <c r="F472" s="19"/>
    </row>
    <row r="473" ht="15.75" customHeight="1">
      <c r="A473" s="19"/>
      <c r="B473" s="19"/>
      <c r="C473" s="19"/>
      <c r="D473" s="19"/>
      <c r="E473" s="19"/>
      <c r="F473" s="19"/>
    </row>
    <row r="474" ht="15.75" customHeight="1">
      <c r="A474" s="19"/>
      <c r="B474" s="19"/>
      <c r="C474" s="19"/>
      <c r="D474" s="19"/>
      <c r="E474" s="19"/>
      <c r="F474" s="19"/>
    </row>
    <row r="475" ht="15.75" customHeight="1">
      <c r="A475" s="19"/>
      <c r="B475" s="19"/>
      <c r="C475" s="19"/>
      <c r="D475" s="19"/>
      <c r="E475" s="19"/>
      <c r="F475" s="19"/>
    </row>
    <row r="476" ht="15.75" customHeight="1">
      <c r="A476" s="19"/>
      <c r="B476" s="19"/>
      <c r="C476" s="19"/>
      <c r="D476" s="19"/>
      <c r="E476" s="19"/>
      <c r="F476" s="19"/>
    </row>
    <row r="477" ht="15.75" customHeight="1">
      <c r="A477" s="19"/>
      <c r="B477" s="19"/>
      <c r="C477" s="19"/>
      <c r="D477" s="19"/>
      <c r="E477" s="19"/>
      <c r="F477" s="19"/>
    </row>
    <row r="478" ht="15.75" customHeight="1">
      <c r="A478" s="19"/>
      <c r="B478" s="19"/>
      <c r="C478" s="19"/>
      <c r="D478" s="19"/>
      <c r="E478" s="19"/>
      <c r="F478" s="19"/>
    </row>
    <row r="479" ht="15.75" customHeight="1">
      <c r="A479" s="19"/>
      <c r="B479" s="19"/>
      <c r="C479" s="19"/>
      <c r="D479" s="19"/>
      <c r="E479" s="19"/>
      <c r="F479" s="19"/>
    </row>
    <row r="480" ht="15.75" customHeight="1">
      <c r="A480" s="19"/>
      <c r="B480" s="19"/>
      <c r="C480" s="19"/>
      <c r="D480" s="19"/>
      <c r="E480" s="19"/>
      <c r="F480" s="19"/>
    </row>
    <row r="481" ht="15.75" customHeight="1">
      <c r="A481" s="19"/>
      <c r="B481" s="19"/>
      <c r="C481" s="19"/>
      <c r="D481" s="19"/>
      <c r="E481" s="19"/>
      <c r="F481" s="19"/>
    </row>
    <row r="482" ht="15.75" customHeight="1">
      <c r="A482" s="19"/>
      <c r="B482" s="19"/>
      <c r="C482" s="19"/>
      <c r="D482" s="19"/>
      <c r="E482" s="19"/>
      <c r="F482" s="19"/>
    </row>
    <row r="483" ht="15.75" customHeight="1">
      <c r="A483" s="19"/>
      <c r="B483" s="19"/>
      <c r="C483" s="19"/>
      <c r="D483" s="19"/>
      <c r="E483" s="19"/>
      <c r="F483" s="19"/>
    </row>
    <row r="484" ht="15.75" customHeight="1">
      <c r="A484" s="19"/>
      <c r="B484" s="19"/>
      <c r="C484" s="19"/>
      <c r="D484" s="19"/>
      <c r="E484" s="19"/>
      <c r="F484" s="19"/>
    </row>
    <row r="485" ht="15.75" customHeight="1">
      <c r="A485" s="19"/>
      <c r="B485" s="19"/>
      <c r="C485" s="19"/>
      <c r="D485" s="19"/>
      <c r="E485" s="19"/>
      <c r="F485" s="19"/>
    </row>
    <row r="486" ht="15.75" customHeight="1">
      <c r="A486" s="19"/>
      <c r="B486" s="19"/>
      <c r="C486" s="19"/>
      <c r="D486" s="19"/>
      <c r="E486" s="19"/>
      <c r="F486" s="19"/>
    </row>
    <row r="487" ht="15.75" customHeight="1">
      <c r="A487" s="19"/>
      <c r="B487" s="19"/>
      <c r="C487" s="19"/>
      <c r="D487" s="19"/>
      <c r="E487" s="19"/>
      <c r="F487" s="19"/>
    </row>
    <row r="488" ht="15.75" customHeight="1">
      <c r="A488" s="19"/>
      <c r="B488" s="19"/>
      <c r="C488" s="19"/>
      <c r="D488" s="19"/>
      <c r="E488" s="19"/>
      <c r="F488" s="19"/>
    </row>
    <row r="489" ht="15.75" customHeight="1">
      <c r="A489" s="19"/>
      <c r="B489" s="19"/>
      <c r="C489" s="19"/>
      <c r="D489" s="19"/>
      <c r="E489" s="19"/>
      <c r="F489" s="19"/>
    </row>
    <row r="490" ht="15.75" customHeight="1">
      <c r="A490" s="19"/>
      <c r="B490" s="19"/>
      <c r="C490" s="19"/>
      <c r="D490" s="19"/>
      <c r="E490" s="19"/>
      <c r="F490" s="19"/>
    </row>
    <row r="491" ht="15.75" customHeight="1">
      <c r="A491" s="19"/>
      <c r="B491" s="19"/>
      <c r="C491" s="19"/>
      <c r="D491" s="19"/>
      <c r="E491" s="19"/>
      <c r="F491" s="19"/>
    </row>
    <row r="492" ht="15.75" customHeight="1">
      <c r="A492" s="19"/>
      <c r="B492" s="19"/>
      <c r="C492" s="19"/>
      <c r="D492" s="19"/>
      <c r="E492" s="19"/>
      <c r="F492" s="19"/>
    </row>
    <row r="493" ht="15.75" customHeight="1">
      <c r="A493" s="19"/>
      <c r="B493" s="19"/>
      <c r="C493" s="19"/>
      <c r="D493" s="19"/>
      <c r="E493" s="19"/>
      <c r="F493" s="19"/>
    </row>
    <row r="494" ht="15.75" customHeight="1">
      <c r="A494" s="19"/>
      <c r="B494" s="19"/>
      <c r="C494" s="19"/>
      <c r="D494" s="19"/>
      <c r="E494" s="19"/>
      <c r="F494" s="19"/>
    </row>
    <row r="495" ht="15.75" customHeight="1">
      <c r="A495" s="19"/>
      <c r="B495" s="19"/>
      <c r="C495" s="19"/>
      <c r="D495" s="19"/>
      <c r="E495" s="19"/>
      <c r="F495" s="19"/>
    </row>
    <row r="496" ht="15.75" customHeight="1">
      <c r="A496" s="19"/>
      <c r="B496" s="19"/>
      <c r="C496" s="19"/>
      <c r="D496" s="19"/>
      <c r="E496" s="19"/>
      <c r="F496" s="19"/>
    </row>
    <row r="497" ht="15.75" customHeight="1">
      <c r="A497" s="19"/>
      <c r="B497" s="19"/>
      <c r="C497" s="19"/>
      <c r="D497" s="19"/>
      <c r="E497" s="19"/>
      <c r="F497" s="19"/>
    </row>
    <row r="498" ht="15.75" customHeight="1">
      <c r="A498" s="19"/>
      <c r="B498" s="19"/>
      <c r="C498" s="19"/>
      <c r="D498" s="19"/>
      <c r="E498" s="19"/>
      <c r="F498" s="19"/>
    </row>
    <row r="499" ht="15.75" customHeight="1">
      <c r="A499" s="19"/>
      <c r="B499" s="19"/>
      <c r="C499" s="19"/>
      <c r="D499" s="19"/>
      <c r="E499" s="19"/>
      <c r="F499" s="19"/>
    </row>
    <row r="500" ht="15.75" customHeight="1">
      <c r="A500" s="19"/>
      <c r="B500" s="19"/>
      <c r="C500" s="19"/>
      <c r="D500" s="19"/>
      <c r="E500" s="19"/>
      <c r="F500" s="19"/>
    </row>
    <row r="501" ht="15.75" customHeight="1">
      <c r="A501" s="19"/>
      <c r="B501" s="19"/>
      <c r="C501" s="19"/>
      <c r="D501" s="19"/>
      <c r="E501" s="19"/>
      <c r="F501" s="19"/>
    </row>
    <row r="502" ht="15.75" customHeight="1">
      <c r="A502" s="19"/>
      <c r="B502" s="19"/>
      <c r="C502" s="19"/>
      <c r="D502" s="19"/>
      <c r="E502" s="19"/>
      <c r="F502" s="19"/>
    </row>
    <row r="503" ht="15.75" customHeight="1">
      <c r="A503" s="19"/>
      <c r="B503" s="19"/>
      <c r="C503" s="19"/>
      <c r="D503" s="19"/>
      <c r="E503" s="19"/>
      <c r="F503" s="19"/>
    </row>
    <row r="504" ht="15.75" customHeight="1">
      <c r="A504" s="19"/>
      <c r="B504" s="19"/>
      <c r="C504" s="19"/>
      <c r="D504" s="19"/>
      <c r="E504" s="19"/>
      <c r="F504" s="19"/>
    </row>
    <row r="505" ht="15.75" customHeight="1">
      <c r="A505" s="19"/>
      <c r="B505" s="19"/>
      <c r="C505" s="19"/>
      <c r="D505" s="19"/>
      <c r="E505" s="19"/>
      <c r="F505" s="19"/>
    </row>
    <row r="506" ht="15.75" customHeight="1">
      <c r="A506" s="19"/>
      <c r="B506" s="19"/>
      <c r="C506" s="19"/>
      <c r="D506" s="19"/>
      <c r="E506" s="19"/>
      <c r="F506" s="19"/>
    </row>
    <row r="507" ht="15.75" customHeight="1">
      <c r="A507" s="19"/>
      <c r="B507" s="19"/>
      <c r="C507" s="19"/>
      <c r="D507" s="19"/>
      <c r="E507" s="19"/>
      <c r="F507" s="19"/>
    </row>
    <row r="508" ht="15.75" customHeight="1">
      <c r="A508" s="19"/>
      <c r="B508" s="19"/>
      <c r="C508" s="19"/>
      <c r="D508" s="19"/>
      <c r="E508" s="19"/>
      <c r="F508" s="19"/>
    </row>
    <row r="509" ht="15.75" customHeight="1">
      <c r="A509" s="19"/>
      <c r="B509" s="19"/>
      <c r="C509" s="19"/>
      <c r="D509" s="19"/>
      <c r="E509" s="19"/>
      <c r="F509" s="19"/>
    </row>
    <row r="510" ht="15.75" customHeight="1">
      <c r="A510" s="19"/>
      <c r="B510" s="19"/>
      <c r="C510" s="19"/>
      <c r="D510" s="19"/>
      <c r="E510" s="19"/>
      <c r="F510" s="19"/>
    </row>
    <row r="511" ht="15.75" customHeight="1">
      <c r="A511" s="19"/>
      <c r="B511" s="19"/>
      <c r="C511" s="19"/>
      <c r="D511" s="19"/>
      <c r="E511" s="19"/>
      <c r="F511" s="19"/>
    </row>
    <row r="512" ht="15.75" customHeight="1">
      <c r="A512" s="19"/>
      <c r="B512" s="19"/>
      <c r="C512" s="19"/>
      <c r="D512" s="19"/>
      <c r="E512" s="19"/>
      <c r="F512" s="19"/>
    </row>
    <row r="513" ht="15.75" customHeight="1">
      <c r="A513" s="19"/>
      <c r="B513" s="19"/>
      <c r="C513" s="19"/>
      <c r="D513" s="19"/>
      <c r="E513" s="19"/>
      <c r="F513" s="19"/>
    </row>
    <row r="514" ht="15.75" customHeight="1">
      <c r="A514" s="19"/>
      <c r="B514" s="19"/>
      <c r="C514" s="19"/>
      <c r="D514" s="19"/>
      <c r="E514" s="19"/>
      <c r="F514" s="19"/>
    </row>
    <row r="515" ht="15.75" customHeight="1">
      <c r="A515" s="19"/>
      <c r="B515" s="19"/>
      <c r="C515" s="19"/>
      <c r="D515" s="19"/>
      <c r="E515" s="19"/>
      <c r="F515" s="19"/>
    </row>
    <row r="516" ht="15.75" customHeight="1">
      <c r="A516" s="19"/>
      <c r="B516" s="19"/>
      <c r="C516" s="19"/>
      <c r="D516" s="19"/>
      <c r="E516" s="19"/>
      <c r="F516" s="19"/>
    </row>
    <row r="517" ht="15.75" customHeight="1">
      <c r="A517" s="19"/>
      <c r="B517" s="19"/>
      <c r="C517" s="19"/>
      <c r="D517" s="19"/>
      <c r="E517" s="19"/>
      <c r="F517" s="19"/>
    </row>
    <row r="518" ht="15.75" customHeight="1">
      <c r="A518" s="19"/>
      <c r="B518" s="19"/>
      <c r="C518" s="19"/>
      <c r="D518" s="19"/>
      <c r="E518" s="19"/>
      <c r="F518" s="19"/>
    </row>
    <row r="519" ht="15.75" customHeight="1">
      <c r="A519" s="19"/>
      <c r="B519" s="19"/>
      <c r="C519" s="19"/>
      <c r="D519" s="19"/>
      <c r="E519" s="19"/>
      <c r="F519" s="19"/>
    </row>
    <row r="520" ht="15.75" customHeight="1">
      <c r="A520" s="19"/>
      <c r="B520" s="19"/>
      <c r="C520" s="19"/>
      <c r="D520" s="19"/>
      <c r="E520" s="19"/>
      <c r="F520" s="19"/>
    </row>
    <row r="521" ht="15.75" customHeight="1">
      <c r="A521" s="19"/>
      <c r="B521" s="19"/>
      <c r="C521" s="19"/>
      <c r="D521" s="19"/>
      <c r="E521" s="19"/>
      <c r="F521" s="19"/>
    </row>
    <row r="522" ht="15.75" customHeight="1">
      <c r="A522" s="19"/>
      <c r="B522" s="19"/>
      <c r="C522" s="19"/>
      <c r="D522" s="19"/>
      <c r="E522" s="19"/>
      <c r="F522" s="19"/>
    </row>
    <row r="523" ht="15.75" customHeight="1">
      <c r="A523" s="19"/>
      <c r="B523" s="19"/>
      <c r="C523" s="19"/>
      <c r="D523" s="19"/>
      <c r="E523" s="19"/>
      <c r="F523" s="19"/>
    </row>
    <row r="524" ht="15.75" customHeight="1">
      <c r="A524" s="19"/>
      <c r="B524" s="19"/>
      <c r="C524" s="19"/>
      <c r="D524" s="19"/>
      <c r="E524" s="19"/>
      <c r="F524" s="19"/>
    </row>
    <row r="525" ht="15.75" customHeight="1">
      <c r="A525" s="19"/>
      <c r="B525" s="19"/>
      <c r="C525" s="19"/>
      <c r="D525" s="19"/>
      <c r="E525" s="19"/>
      <c r="F525" s="19"/>
    </row>
    <row r="526" ht="15.75" customHeight="1">
      <c r="A526" s="19"/>
      <c r="B526" s="19"/>
      <c r="C526" s="19"/>
      <c r="D526" s="19"/>
      <c r="E526" s="19"/>
      <c r="F526" s="19"/>
    </row>
    <row r="527" ht="15.75" customHeight="1">
      <c r="A527" s="19"/>
      <c r="B527" s="19"/>
      <c r="C527" s="19"/>
      <c r="D527" s="19"/>
      <c r="E527" s="19"/>
      <c r="F527" s="19"/>
    </row>
    <row r="528" ht="15.75" customHeight="1">
      <c r="A528" s="19"/>
      <c r="B528" s="19"/>
      <c r="C528" s="19"/>
      <c r="D528" s="19"/>
      <c r="E528" s="19"/>
      <c r="F528" s="19"/>
    </row>
    <row r="529" ht="15.75" customHeight="1">
      <c r="A529" s="19"/>
      <c r="B529" s="19"/>
      <c r="C529" s="19"/>
      <c r="D529" s="19"/>
      <c r="E529" s="19"/>
      <c r="F529" s="19"/>
    </row>
    <row r="530" ht="15.75" customHeight="1">
      <c r="A530" s="19"/>
      <c r="B530" s="19"/>
      <c r="C530" s="19"/>
      <c r="D530" s="19"/>
      <c r="E530" s="19"/>
      <c r="F530" s="19"/>
    </row>
    <row r="531" ht="15.75" customHeight="1">
      <c r="A531" s="19"/>
      <c r="B531" s="19"/>
      <c r="C531" s="19"/>
      <c r="D531" s="19"/>
      <c r="E531" s="19"/>
      <c r="F531" s="19"/>
    </row>
    <row r="532" ht="15.75" customHeight="1">
      <c r="A532" s="19"/>
      <c r="B532" s="19"/>
      <c r="C532" s="19"/>
      <c r="D532" s="19"/>
      <c r="E532" s="19"/>
      <c r="F532" s="19"/>
    </row>
    <row r="533" ht="15.75" customHeight="1">
      <c r="A533" s="19"/>
      <c r="B533" s="19"/>
      <c r="C533" s="19"/>
      <c r="D533" s="19"/>
      <c r="E533" s="19"/>
      <c r="F533" s="19"/>
    </row>
    <row r="534" ht="15.75" customHeight="1">
      <c r="A534" s="19"/>
      <c r="B534" s="19"/>
      <c r="C534" s="19"/>
      <c r="D534" s="19"/>
      <c r="E534" s="19"/>
      <c r="F534" s="19"/>
    </row>
    <row r="535" ht="15.75" customHeight="1">
      <c r="A535" s="19"/>
      <c r="B535" s="19"/>
      <c r="C535" s="19"/>
      <c r="D535" s="19"/>
      <c r="E535" s="19"/>
      <c r="F535" s="19"/>
    </row>
    <row r="536" ht="15.75" customHeight="1">
      <c r="A536" s="19"/>
      <c r="B536" s="19"/>
      <c r="C536" s="19"/>
      <c r="D536" s="19"/>
      <c r="E536" s="19"/>
      <c r="F536" s="19"/>
    </row>
    <row r="537" ht="15.75" customHeight="1">
      <c r="A537" s="19"/>
      <c r="B537" s="19"/>
      <c r="C537" s="19"/>
      <c r="D537" s="19"/>
      <c r="E537" s="19"/>
      <c r="F537" s="19"/>
    </row>
    <row r="538" ht="15.75" customHeight="1">
      <c r="A538" s="19"/>
      <c r="B538" s="19"/>
      <c r="C538" s="19"/>
      <c r="D538" s="19"/>
      <c r="E538" s="19"/>
      <c r="F538" s="19"/>
    </row>
    <row r="539" ht="15.75" customHeight="1">
      <c r="A539" s="19"/>
      <c r="B539" s="19"/>
      <c r="C539" s="19"/>
      <c r="D539" s="19"/>
      <c r="E539" s="19"/>
      <c r="F539" s="19"/>
    </row>
    <row r="540" ht="15.75" customHeight="1">
      <c r="A540" s="19"/>
      <c r="B540" s="19"/>
      <c r="C540" s="19"/>
      <c r="D540" s="19"/>
      <c r="E540" s="19"/>
      <c r="F540" s="19"/>
    </row>
    <row r="541" ht="15.75" customHeight="1">
      <c r="A541" s="19"/>
      <c r="B541" s="19"/>
      <c r="C541" s="19"/>
      <c r="D541" s="19"/>
      <c r="E541" s="19"/>
      <c r="F541" s="19"/>
    </row>
    <row r="542" ht="15.75" customHeight="1">
      <c r="A542" s="19"/>
      <c r="B542" s="19"/>
      <c r="C542" s="19"/>
      <c r="D542" s="19"/>
      <c r="E542" s="19"/>
      <c r="F542" s="19"/>
    </row>
    <row r="543" ht="15.75" customHeight="1">
      <c r="A543" s="19"/>
      <c r="B543" s="19"/>
      <c r="C543" s="19"/>
      <c r="D543" s="19"/>
      <c r="E543" s="19"/>
      <c r="F543" s="19"/>
    </row>
    <row r="544" ht="15.75" customHeight="1">
      <c r="A544" s="19"/>
      <c r="B544" s="19"/>
      <c r="C544" s="19"/>
      <c r="D544" s="19"/>
      <c r="E544" s="19"/>
      <c r="F544" s="19"/>
    </row>
    <row r="545" ht="15.75" customHeight="1">
      <c r="A545" s="19"/>
      <c r="B545" s="19"/>
      <c r="C545" s="19"/>
      <c r="D545" s="19"/>
      <c r="E545" s="19"/>
      <c r="F545" s="19"/>
    </row>
    <row r="546" ht="15.75" customHeight="1">
      <c r="A546" s="19"/>
      <c r="B546" s="19"/>
      <c r="C546" s="19"/>
      <c r="D546" s="19"/>
      <c r="E546" s="19"/>
      <c r="F546" s="19"/>
    </row>
    <row r="547" ht="15.75" customHeight="1">
      <c r="A547" s="19"/>
      <c r="B547" s="19"/>
      <c r="C547" s="19"/>
      <c r="D547" s="19"/>
      <c r="E547" s="19"/>
      <c r="F547" s="19"/>
    </row>
    <row r="548" ht="15.75" customHeight="1">
      <c r="A548" s="19"/>
      <c r="B548" s="19"/>
      <c r="C548" s="19"/>
      <c r="D548" s="19"/>
      <c r="E548" s="19"/>
      <c r="F548" s="19"/>
    </row>
    <row r="549" ht="15.75" customHeight="1">
      <c r="A549" s="19"/>
      <c r="B549" s="19"/>
      <c r="C549" s="19"/>
      <c r="D549" s="19"/>
      <c r="E549" s="19"/>
      <c r="F549" s="19"/>
    </row>
    <row r="550" ht="15.75" customHeight="1">
      <c r="A550" s="19"/>
      <c r="B550" s="19"/>
      <c r="C550" s="19"/>
      <c r="D550" s="19"/>
      <c r="E550" s="19"/>
      <c r="F550" s="19"/>
    </row>
    <row r="551" ht="15.75" customHeight="1">
      <c r="A551" s="19"/>
      <c r="B551" s="19"/>
      <c r="C551" s="19"/>
      <c r="D551" s="19"/>
      <c r="E551" s="19"/>
      <c r="F551" s="19"/>
    </row>
    <row r="552" ht="15.75" customHeight="1">
      <c r="A552" s="19"/>
      <c r="B552" s="19"/>
      <c r="C552" s="19"/>
      <c r="D552" s="19"/>
      <c r="E552" s="19"/>
      <c r="F552" s="19"/>
    </row>
    <row r="553" ht="15.75" customHeight="1">
      <c r="A553" s="19"/>
      <c r="B553" s="19"/>
      <c r="C553" s="19"/>
      <c r="D553" s="19"/>
      <c r="E553" s="19"/>
      <c r="F553" s="19"/>
    </row>
    <row r="554" ht="15.75" customHeight="1">
      <c r="A554" s="19"/>
      <c r="B554" s="19"/>
      <c r="C554" s="19"/>
      <c r="D554" s="19"/>
      <c r="E554" s="19"/>
      <c r="F554" s="19"/>
    </row>
    <row r="555" ht="15.75" customHeight="1">
      <c r="A555" s="19"/>
      <c r="B555" s="19"/>
      <c r="C555" s="19"/>
      <c r="D555" s="19"/>
      <c r="E555" s="19"/>
      <c r="F555" s="19"/>
    </row>
    <row r="556" ht="15.75" customHeight="1">
      <c r="A556" s="19"/>
      <c r="B556" s="19"/>
      <c r="C556" s="19"/>
      <c r="D556" s="19"/>
      <c r="E556" s="19"/>
      <c r="F556" s="19"/>
    </row>
    <row r="557" ht="15.75" customHeight="1">
      <c r="A557" s="19"/>
      <c r="B557" s="19"/>
      <c r="C557" s="19"/>
      <c r="D557" s="19"/>
      <c r="E557" s="19"/>
      <c r="F557" s="19"/>
    </row>
    <row r="558" ht="15.75" customHeight="1">
      <c r="A558" s="19"/>
      <c r="B558" s="19"/>
      <c r="C558" s="19"/>
      <c r="D558" s="19"/>
      <c r="E558" s="19"/>
      <c r="F558" s="19"/>
    </row>
    <row r="559" ht="15.75" customHeight="1">
      <c r="A559" s="19"/>
      <c r="B559" s="19"/>
      <c r="C559" s="19"/>
      <c r="D559" s="19"/>
      <c r="E559" s="19"/>
      <c r="F559" s="19"/>
    </row>
    <row r="560" ht="15.75" customHeight="1">
      <c r="A560" s="19"/>
      <c r="B560" s="19"/>
      <c r="C560" s="19"/>
      <c r="D560" s="19"/>
      <c r="E560" s="19"/>
      <c r="F560" s="19"/>
    </row>
    <row r="561" ht="15.75" customHeight="1">
      <c r="A561" s="19"/>
      <c r="B561" s="19"/>
      <c r="C561" s="19"/>
      <c r="D561" s="19"/>
      <c r="E561" s="19"/>
      <c r="F561" s="19"/>
    </row>
    <row r="562" ht="15.75" customHeight="1">
      <c r="A562" s="19"/>
      <c r="B562" s="19"/>
      <c r="C562" s="19"/>
      <c r="D562" s="19"/>
      <c r="E562" s="19"/>
      <c r="F562" s="19"/>
    </row>
    <row r="563" ht="15.75" customHeight="1">
      <c r="A563" s="19"/>
      <c r="B563" s="19"/>
      <c r="C563" s="19"/>
      <c r="D563" s="19"/>
      <c r="E563" s="19"/>
      <c r="F563" s="19"/>
    </row>
    <row r="564" ht="15.75" customHeight="1">
      <c r="A564" s="19"/>
      <c r="B564" s="19"/>
      <c r="C564" s="19"/>
      <c r="D564" s="19"/>
      <c r="E564" s="19"/>
      <c r="F564" s="19"/>
    </row>
    <row r="565" ht="15.75" customHeight="1">
      <c r="A565" s="19"/>
      <c r="B565" s="19"/>
      <c r="C565" s="19"/>
      <c r="D565" s="19"/>
      <c r="E565" s="19"/>
      <c r="F565" s="19"/>
    </row>
    <row r="566" ht="15.75" customHeight="1">
      <c r="A566" s="19"/>
      <c r="B566" s="19"/>
      <c r="C566" s="19"/>
      <c r="D566" s="19"/>
      <c r="E566" s="19"/>
      <c r="F566" s="19"/>
    </row>
    <row r="567" ht="15.75" customHeight="1">
      <c r="A567" s="19"/>
      <c r="B567" s="19"/>
      <c r="C567" s="19"/>
      <c r="D567" s="19"/>
      <c r="E567" s="19"/>
      <c r="F567" s="19"/>
    </row>
    <row r="568" ht="15.75" customHeight="1">
      <c r="A568" s="19"/>
      <c r="B568" s="19"/>
      <c r="C568" s="19"/>
      <c r="D568" s="19"/>
      <c r="E568" s="19"/>
      <c r="F568" s="19"/>
    </row>
    <row r="569" ht="15.75" customHeight="1">
      <c r="A569" s="19"/>
      <c r="B569" s="19"/>
      <c r="C569" s="19"/>
      <c r="D569" s="19"/>
      <c r="E569" s="19"/>
      <c r="F569" s="19"/>
    </row>
    <row r="570" ht="15.75" customHeight="1">
      <c r="A570" s="19"/>
      <c r="B570" s="19"/>
      <c r="C570" s="19"/>
      <c r="D570" s="19"/>
      <c r="E570" s="19"/>
      <c r="F570" s="19"/>
    </row>
    <row r="571" ht="15.75" customHeight="1">
      <c r="A571" s="19"/>
      <c r="B571" s="19"/>
      <c r="C571" s="19"/>
      <c r="D571" s="19"/>
      <c r="E571" s="19"/>
      <c r="F571" s="19"/>
    </row>
    <row r="572" ht="15.75" customHeight="1">
      <c r="A572" s="19"/>
      <c r="B572" s="19"/>
      <c r="C572" s="19"/>
      <c r="D572" s="19"/>
      <c r="E572" s="19"/>
      <c r="F572" s="19"/>
    </row>
    <row r="573" ht="15.75" customHeight="1">
      <c r="A573" s="19"/>
      <c r="B573" s="19"/>
      <c r="C573" s="19"/>
      <c r="D573" s="19"/>
      <c r="E573" s="19"/>
      <c r="F573" s="19"/>
    </row>
    <row r="574" ht="15.75" customHeight="1">
      <c r="A574" s="19"/>
      <c r="B574" s="19"/>
      <c r="C574" s="19"/>
      <c r="D574" s="19"/>
      <c r="E574" s="19"/>
      <c r="F574" s="19"/>
    </row>
    <row r="575" ht="15.75" customHeight="1">
      <c r="A575" s="19"/>
      <c r="B575" s="19"/>
      <c r="C575" s="19"/>
      <c r="D575" s="19"/>
      <c r="E575" s="19"/>
      <c r="F575" s="19"/>
    </row>
    <row r="576" ht="15.75" customHeight="1">
      <c r="A576" s="19"/>
      <c r="B576" s="19"/>
      <c r="C576" s="19"/>
      <c r="D576" s="19"/>
      <c r="E576" s="19"/>
      <c r="F576" s="19"/>
    </row>
    <row r="577" ht="15.75" customHeight="1">
      <c r="A577" s="19"/>
      <c r="B577" s="19"/>
      <c r="C577" s="19"/>
      <c r="D577" s="19"/>
      <c r="E577" s="19"/>
      <c r="F577" s="19"/>
    </row>
    <row r="578" ht="15.75" customHeight="1">
      <c r="A578" s="19"/>
      <c r="B578" s="19"/>
      <c r="C578" s="19"/>
      <c r="D578" s="19"/>
      <c r="E578" s="19"/>
      <c r="F578" s="19"/>
    </row>
    <row r="579" ht="15.75" customHeight="1">
      <c r="A579" s="19"/>
      <c r="B579" s="19"/>
      <c r="C579" s="19"/>
      <c r="D579" s="19"/>
      <c r="E579" s="19"/>
      <c r="F579" s="19"/>
    </row>
    <row r="580" ht="15.75" customHeight="1">
      <c r="A580" s="19"/>
      <c r="B580" s="19"/>
      <c r="C580" s="19"/>
      <c r="D580" s="19"/>
      <c r="E580" s="19"/>
      <c r="F580" s="19"/>
    </row>
    <row r="581" ht="15.75" customHeight="1">
      <c r="A581" s="19"/>
      <c r="B581" s="19"/>
      <c r="C581" s="19"/>
      <c r="D581" s="19"/>
      <c r="E581" s="19"/>
      <c r="F581" s="19"/>
    </row>
    <row r="582" ht="15.75" customHeight="1">
      <c r="A582" s="19"/>
      <c r="B582" s="19"/>
      <c r="C582" s="19"/>
      <c r="D582" s="19"/>
      <c r="E582" s="19"/>
      <c r="F582" s="19"/>
    </row>
    <row r="583" ht="15.75" customHeight="1">
      <c r="A583" s="19"/>
      <c r="B583" s="19"/>
      <c r="C583" s="19"/>
      <c r="D583" s="19"/>
      <c r="E583" s="19"/>
      <c r="F583" s="19"/>
    </row>
    <row r="584" ht="15.75" customHeight="1">
      <c r="A584" s="19"/>
      <c r="B584" s="19"/>
      <c r="C584" s="19"/>
      <c r="D584" s="19"/>
      <c r="E584" s="19"/>
      <c r="F584" s="19"/>
    </row>
    <row r="585" ht="15.75" customHeight="1">
      <c r="A585" s="19"/>
      <c r="B585" s="19"/>
      <c r="C585" s="19"/>
      <c r="D585" s="19"/>
      <c r="E585" s="19"/>
      <c r="F585" s="19"/>
    </row>
    <row r="586" ht="15.75" customHeight="1">
      <c r="A586" s="19"/>
      <c r="B586" s="19"/>
      <c r="C586" s="19"/>
      <c r="D586" s="19"/>
      <c r="E586" s="19"/>
      <c r="F586" s="19"/>
    </row>
    <row r="587" ht="15.75" customHeight="1">
      <c r="A587" s="19"/>
      <c r="B587" s="19"/>
      <c r="C587" s="19"/>
      <c r="D587" s="19"/>
      <c r="E587" s="19"/>
      <c r="F587" s="19"/>
    </row>
    <row r="588" ht="15.75" customHeight="1">
      <c r="A588" s="19"/>
      <c r="B588" s="19"/>
      <c r="C588" s="19"/>
      <c r="D588" s="19"/>
      <c r="E588" s="19"/>
      <c r="F588" s="19"/>
    </row>
    <row r="589" ht="15.75" customHeight="1">
      <c r="A589" s="19"/>
      <c r="B589" s="19"/>
      <c r="C589" s="19"/>
      <c r="D589" s="19"/>
      <c r="E589" s="19"/>
      <c r="F589" s="19"/>
    </row>
    <row r="590" ht="15.75" customHeight="1">
      <c r="A590" s="19"/>
      <c r="B590" s="19"/>
      <c r="C590" s="19"/>
      <c r="D590" s="19"/>
      <c r="E590" s="19"/>
      <c r="F590" s="19"/>
    </row>
    <row r="591" ht="15.75" customHeight="1">
      <c r="A591" s="19"/>
      <c r="B591" s="19"/>
      <c r="C591" s="19"/>
      <c r="D591" s="19"/>
      <c r="E591" s="19"/>
      <c r="F591" s="19"/>
    </row>
    <row r="592" ht="15.75" customHeight="1">
      <c r="A592" s="19"/>
      <c r="B592" s="19"/>
      <c r="C592" s="19"/>
      <c r="D592" s="19"/>
      <c r="E592" s="19"/>
      <c r="F592" s="19"/>
    </row>
    <row r="593" ht="15.75" customHeight="1">
      <c r="A593" s="19"/>
      <c r="B593" s="19"/>
      <c r="C593" s="19"/>
      <c r="D593" s="19"/>
      <c r="E593" s="19"/>
      <c r="F593" s="19"/>
    </row>
    <row r="594" ht="15.75" customHeight="1">
      <c r="A594" s="19"/>
      <c r="B594" s="19"/>
      <c r="C594" s="19"/>
      <c r="D594" s="19"/>
      <c r="E594" s="19"/>
      <c r="F594" s="19"/>
    </row>
    <row r="595" ht="15.75" customHeight="1">
      <c r="A595" s="19"/>
      <c r="B595" s="19"/>
      <c r="C595" s="19"/>
      <c r="D595" s="19"/>
      <c r="E595" s="19"/>
      <c r="F595" s="19"/>
    </row>
    <row r="596" ht="15.75" customHeight="1">
      <c r="A596" s="19"/>
      <c r="B596" s="19"/>
      <c r="C596" s="19"/>
      <c r="D596" s="19"/>
      <c r="E596" s="19"/>
      <c r="F596" s="19"/>
    </row>
    <row r="597" ht="15.75" customHeight="1">
      <c r="A597" s="19"/>
      <c r="B597" s="19"/>
      <c r="C597" s="19"/>
      <c r="D597" s="19"/>
      <c r="E597" s="19"/>
      <c r="F597" s="19"/>
    </row>
    <row r="598" ht="15.75" customHeight="1">
      <c r="A598" s="19"/>
      <c r="B598" s="19"/>
      <c r="C598" s="19"/>
      <c r="D598" s="19"/>
      <c r="E598" s="19"/>
      <c r="F598" s="19"/>
    </row>
    <row r="599" ht="15.75" customHeight="1">
      <c r="A599" s="19"/>
      <c r="B599" s="19"/>
      <c r="C599" s="19"/>
      <c r="D599" s="19"/>
      <c r="E599" s="19"/>
      <c r="F599" s="19"/>
    </row>
    <row r="600" ht="15.75" customHeight="1">
      <c r="A600" s="19"/>
      <c r="B600" s="19"/>
      <c r="C600" s="19"/>
      <c r="D600" s="19"/>
      <c r="E600" s="19"/>
      <c r="F600" s="19"/>
    </row>
    <row r="601" ht="15.75" customHeight="1">
      <c r="A601" s="19"/>
      <c r="B601" s="19"/>
      <c r="C601" s="19"/>
      <c r="D601" s="19"/>
      <c r="E601" s="19"/>
      <c r="F601" s="19"/>
    </row>
    <row r="602" ht="15.75" customHeight="1">
      <c r="A602" s="19"/>
      <c r="B602" s="19"/>
      <c r="C602" s="19"/>
      <c r="D602" s="19"/>
      <c r="E602" s="19"/>
      <c r="F602" s="19"/>
    </row>
    <row r="603" ht="15.75" customHeight="1">
      <c r="A603" s="19"/>
      <c r="B603" s="19"/>
      <c r="C603" s="19"/>
      <c r="D603" s="19"/>
      <c r="E603" s="19"/>
      <c r="F603" s="19"/>
    </row>
    <row r="604" ht="15.75" customHeight="1">
      <c r="A604" s="19"/>
      <c r="B604" s="19"/>
      <c r="C604" s="19"/>
      <c r="D604" s="19"/>
      <c r="E604" s="19"/>
      <c r="F604" s="19"/>
    </row>
    <row r="605" ht="15.75" customHeight="1">
      <c r="A605" s="19"/>
      <c r="B605" s="19"/>
      <c r="C605" s="19"/>
      <c r="D605" s="19"/>
      <c r="E605" s="19"/>
      <c r="F605" s="19"/>
    </row>
    <row r="606" ht="15.75" customHeight="1">
      <c r="A606" s="19"/>
      <c r="B606" s="19"/>
      <c r="C606" s="19"/>
      <c r="D606" s="19"/>
      <c r="E606" s="19"/>
      <c r="F606" s="19"/>
    </row>
    <row r="607" ht="15.75" customHeight="1">
      <c r="A607" s="19"/>
      <c r="B607" s="19"/>
      <c r="C607" s="19"/>
      <c r="D607" s="19"/>
      <c r="E607" s="19"/>
      <c r="F607" s="19"/>
    </row>
    <row r="608" ht="15.75" customHeight="1">
      <c r="A608" s="19"/>
      <c r="B608" s="19"/>
      <c r="C608" s="19"/>
      <c r="D608" s="19"/>
      <c r="E608" s="19"/>
      <c r="F608" s="19"/>
    </row>
    <row r="609" ht="15.75" customHeight="1">
      <c r="A609" s="19"/>
      <c r="B609" s="19"/>
      <c r="C609" s="19"/>
      <c r="D609" s="19"/>
      <c r="E609" s="19"/>
      <c r="F609" s="19"/>
    </row>
    <row r="610" ht="15.75" customHeight="1">
      <c r="A610" s="19"/>
      <c r="B610" s="19"/>
      <c r="C610" s="19"/>
      <c r="D610" s="19"/>
      <c r="E610" s="19"/>
      <c r="F610" s="19"/>
    </row>
    <row r="611" ht="15.75" customHeight="1">
      <c r="A611" s="19"/>
      <c r="B611" s="19"/>
      <c r="C611" s="19"/>
      <c r="D611" s="19"/>
      <c r="E611" s="19"/>
      <c r="F611" s="19"/>
    </row>
    <row r="612" ht="15.75" customHeight="1">
      <c r="A612" s="19"/>
      <c r="B612" s="19"/>
      <c r="C612" s="19"/>
      <c r="D612" s="19"/>
      <c r="E612" s="19"/>
      <c r="F612" s="19"/>
    </row>
    <row r="613" ht="15.75" customHeight="1">
      <c r="A613" s="19"/>
      <c r="B613" s="19"/>
      <c r="C613" s="19"/>
      <c r="D613" s="19"/>
      <c r="E613" s="19"/>
      <c r="F613" s="19"/>
    </row>
    <row r="614" ht="15.75" customHeight="1">
      <c r="A614" s="19"/>
      <c r="B614" s="19"/>
      <c r="C614" s="19"/>
      <c r="D614" s="19"/>
      <c r="E614" s="19"/>
      <c r="F614" s="19"/>
    </row>
    <row r="615" ht="15.75" customHeight="1">
      <c r="A615" s="19"/>
      <c r="B615" s="19"/>
      <c r="C615" s="19"/>
      <c r="D615" s="19"/>
      <c r="E615" s="19"/>
      <c r="F615" s="19"/>
    </row>
    <row r="616" ht="15.75" customHeight="1">
      <c r="A616" s="19"/>
      <c r="B616" s="19"/>
      <c r="C616" s="19"/>
      <c r="D616" s="19"/>
      <c r="E616" s="19"/>
      <c r="F616" s="19"/>
    </row>
    <row r="617" ht="15.75" customHeight="1">
      <c r="A617" s="19"/>
      <c r="B617" s="19"/>
      <c r="C617" s="19"/>
      <c r="D617" s="19"/>
      <c r="E617" s="19"/>
      <c r="F617" s="19"/>
    </row>
    <row r="618" ht="15.75" customHeight="1">
      <c r="A618" s="19"/>
      <c r="B618" s="19"/>
      <c r="C618" s="19"/>
      <c r="D618" s="19"/>
      <c r="E618" s="19"/>
      <c r="F618" s="19"/>
    </row>
    <row r="619" ht="15.75" customHeight="1">
      <c r="A619" s="19"/>
      <c r="B619" s="19"/>
      <c r="C619" s="19"/>
      <c r="D619" s="19"/>
      <c r="E619" s="19"/>
      <c r="F619" s="19"/>
    </row>
    <row r="620" ht="15.75" customHeight="1">
      <c r="A620" s="19"/>
      <c r="B620" s="19"/>
      <c r="C620" s="19"/>
      <c r="D620" s="19"/>
      <c r="E620" s="19"/>
      <c r="F620" s="19"/>
    </row>
    <row r="621" ht="15.75" customHeight="1">
      <c r="A621" s="19"/>
      <c r="B621" s="19"/>
      <c r="C621" s="19"/>
      <c r="D621" s="19"/>
      <c r="E621" s="19"/>
      <c r="F621" s="19"/>
    </row>
    <row r="622" ht="15.75" customHeight="1">
      <c r="A622" s="19"/>
      <c r="B622" s="19"/>
      <c r="C622" s="19"/>
      <c r="D622" s="19"/>
      <c r="E622" s="19"/>
      <c r="F622" s="19"/>
    </row>
    <row r="623" ht="15.75" customHeight="1">
      <c r="A623" s="19"/>
      <c r="B623" s="19"/>
      <c r="C623" s="19"/>
      <c r="D623" s="19"/>
      <c r="E623" s="19"/>
      <c r="F623" s="19"/>
    </row>
    <row r="624" ht="15.75" customHeight="1">
      <c r="A624" s="19"/>
      <c r="B624" s="19"/>
      <c r="C624" s="19"/>
      <c r="D624" s="19"/>
      <c r="E624" s="19"/>
      <c r="F624" s="19"/>
    </row>
    <row r="625" ht="15.75" customHeight="1">
      <c r="A625" s="19"/>
      <c r="B625" s="19"/>
      <c r="C625" s="19"/>
      <c r="D625" s="19"/>
      <c r="E625" s="19"/>
      <c r="F625" s="19"/>
    </row>
    <row r="626" ht="15.75" customHeight="1">
      <c r="A626" s="19"/>
      <c r="B626" s="19"/>
      <c r="C626" s="19"/>
      <c r="D626" s="19"/>
      <c r="E626" s="19"/>
      <c r="F626" s="19"/>
    </row>
    <row r="627" ht="15.75" customHeight="1">
      <c r="A627" s="19"/>
      <c r="B627" s="19"/>
      <c r="C627" s="19"/>
      <c r="D627" s="19"/>
      <c r="E627" s="19"/>
      <c r="F627" s="19"/>
    </row>
    <row r="628" ht="15.75" customHeight="1">
      <c r="A628" s="19"/>
      <c r="B628" s="19"/>
      <c r="C628" s="19"/>
      <c r="D628" s="19"/>
      <c r="E628" s="19"/>
      <c r="F628" s="19"/>
    </row>
    <row r="629" ht="15.75" customHeight="1">
      <c r="A629" s="19"/>
      <c r="B629" s="19"/>
      <c r="C629" s="19"/>
      <c r="D629" s="19"/>
      <c r="E629" s="19"/>
      <c r="F629" s="19"/>
    </row>
    <row r="630" ht="15.75" customHeight="1">
      <c r="A630" s="19"/>
      <c r="B630" s="19"/>
      <c r="C630" s="19"/>
      <c r="D630" s="19"/>
      <c r="E630" s="19"/>
      <c r="F630" s="19"/>
    </row>
    <row r="631" ht="15.75" customHeight="1">
      <c r="A631" s="19"/>
      <c r="B631" s="19"/>
      <c r="C631" s="19"/>
      <c r="D631" s="19"/>
      <c r="E631" s="19"/>
      <c r="F631" s="19"/>
    </row>
    <row r="632" ht="15.75" customHeight="1">
      <c r="A632" s="19"/>
      <c r="B632" s="19"/>
      <c r="C632" s="19"/>
      <c r="D632" s="19"/>
      <c r="E632" s="19"/>
      <c r="F632" s="19"/>
    </row>
    <row r="633" ht="15.75" customHeight="1">
      <c r="A633" s="19"/>
      <c r="B633" s="19"/>
      <c r="C633" s="19"/>
      <c r="D633" s="19"/>
      <c r="E633" s="19"/>
      <c r="F633" s="19"/>
    </row>
    <row r="634" ht="15.75" customHeight="1">
      <c r="A634" s="19"/>
      <c r="B634" s="19"/>
      <c r="C634" s="19"/>
      <c r="D634" s="19"/>
      <c r="E634" s="19"/>
      <c r="F634" s="19"/>
    </row>
    <row r="635" ht="15.75" customHeight="1">
      <c r="A635" s="19"/>
      <c r="B635" s="19"/>
      <c r="C635" s="19"/>
      <c r="D635" s="19"/>
      <c r="E635" s="19"/>
      <c r="F635" s="19"/>
    </row>
    <row r="636" ht="15.75" customHeight="1">
      <c r="A636" s="19"/>
      <c r="B636" s="19"/>
      <c r="C636" s="19"/>
      <c r="D636" s="19"/>
      <c r="E636" s="19"/>
      <c r="F636" s="19"/>
    </row>
    <row r="637" ht="15.75" customHeight="1">
      <c r="A637" s="19"/>
      <c r="B637" s="19"/>
      <c r="C637" s="19"/>
      <c r="D637" s="19"/>
      <c r="E637" s="19"/>
      <c r="F637" s="19"/>
    </row>
    <row r="638" ht="15.75" customHeight="1">
      <c r="A638" s="19"/>
      <c r="B638" s="19"/>
      <c r="C638" s="19"/>
      <c r="D638" s="19"/>
      <c r="E638" s="19"/>
      <c r="F638" s="19"/>
    </row>
    <row r="639" ht="15.75" customHeight="1">
      <c r="A639" s="19"/>
      <c r="B639" s="19"/>
      <c r="C639" s="19"/>
      <c r="D639" s="19"/>
      <c r="E639" s="19"/>
      <c r="F639" s="19"/>
    </row>
    <row r="640" ht="15.75" customHeight="1">
      <c r="A640" s="19"/>
      <c r="B640" s="19"/>
      <c r="C640" s="19"/>
      <c r="D640" s="19"/>
      <c r="E640" s="19"/>
      <c r="F640" s="19"/>
    </row>
    <row r="641" ht="15.75" customHeight="1">
      <c r="A641" s="19"/>
      <c r="B641" s="19"/>
      <c r="C641" s="19"/>
      <c r="D641" s="19"/>
      <c r="E641" s="19"/>
      <c r="F641" s="19"/>
    </row>
    <row r="642" ht="15.75" customHeight="1">
      <c r="A642" s="19"/>
      <c r="B642" s="19"/>
      <c r="C642" s="19"/>
      <c r="D642" s="19"/>
      <c r="E642" s="19"/>
      <c r="F642" s="19"/>
    </row>
    <row r="643" ht="15.75" customHeight="1">
      <c r="A643" s="19"/>
      <c r="B643" s="19"/>
      <c r="C643" s="19"/>
      <c r="D643" s="19"/>
      <c r="E643" s="19"/>
      <c r="F643" s="19"/>
    </row>
    <row r="644" ht="15.75" customHeight="1">
      <c r="A644" s="19"/>
      <c r="B644" s="19"/>
      <c r="C644" s="19"/>
      <c r="D644" s="19"/>
      <c r="E644" s="19"/>
      <c r="F644" s="19"/>
    </row>
    <row r="645" ht="15.75" customHeight="1">
      <c r="A645" s="19"/>
      <c r="B645" s="19"/>
      <c r="C645" s="19"/>
      <c r="D645" s="19"/>
      <c r="E645" s="19"/>
      <c r="F645" s="19"/>
    </row>
    <row r="646" ht="15.75" customHeight="1">
      <c r="A646" s="19"/>
      <c r="B646" s="19"/>
      <c r="C646" s="19"/>
      <c r="D646" s="19"/>
      <c r="E646" s="19"/>
      <c r="F646" s="19"/>
    </row>
    <row r="647" ht="15.75" customHeight="1">
      <c r="A647" s="19"/>
      <c r="B647" s="19"/>
      <c r="C647" s="19"/>
      <c r="D647" s="19"/>
      <c r="E647" s="19"/>
      <c r="F647" s="19"/>
    </row>
    <row r="648" ht="15.75" customHeight="1">
      <c r="A648" s="19"/>
      <c r="B648" s="19"/>
      <c r="C648" s="19"/>
      <c r="D648" s="19"/>
      <c r="E648" s="19"/>
      <c r="F648" s="19"/>
    </row>
    <row r="649" ht="15.75" customHeight="1">
      <c r="A649" s="19"/>
      <c r="B649" s="19"/>
      <c r="C649" s="19"/>
      <c r="D649" s="19"/>
      <c r="E649" s="19"/>
      <c r="F649" s="19"/>
    </row>
    <row r="650" ht="15.75" customHeight="1">
      <c r="A650" s="19"/>
      <c r="B650" s="19"/>
      <c r="C650" s="19"/>
      <c r="D650" s="19"/>
      <c r="E650" s="19"/>
      <c r="F650" s="19"/>
    </row>
    <row r="651" ht="15.75" customHeight="1">
      <c r="A651" s="19"/>
      <c r="B651" s="19"/>
      <c r="C651" s="19"/>
      <c r="D651" s="19"/>
      <c r="E651" s="19"/>
      <c r="F651" s="19"/>
    </row>
    <row r="652" ht="15.75" customHeight="1">
      <c r="A652" s="19"/>
      <c r="B652" s="19"/>
      <c r="C652" s="19"/>
      <c r="D652" s="19"/>
      <c r="E652" s="19"/>
      <c r="F652" s="19"/>
    </row>
    <row r="653" ht="15.75" customHeight="1">
      <c r="A653" s="19"/>
      <c r="B653" s="19"/>
      <c r="C653" s="19"/>
      <c r="D653" s="19"/>
      <c r="E653" s="19"/>
      <c r="F653" s="19"/>
    </row>
    <row r="654" ht="15.75" customHeight="1">
      <c r="A654" s="19"/>
      <c r="B654" s="19"/>
      <c r="C654" s="19"/>
      <c r="D654" s="19"/>
      <c r="E654" s="19"/>
      <c r="F654" s="19"/>
    </row>
    <row r="655" ht="15.75" customHeight="1">
      <c r="A655" s="19"/>
      <c r="B655" s="19"/>
      <c r="C655" s="19"/>
      <c r="D655" s="19"/>
      <c r="E655" s="19"/>
      <c r="F655" s="19"/>
    </row>
    <row r="656" ht="15.75" customHeight="1">
      <c r="A656" s="19"/>
      <c r="B656" s="19"/>
      <c r="C656" s="19"/>
      <c r="D656" s="19"/>
      <c r="E656" s="19"/>
      <c r="F656" s="19"/>
    </row>
    <row r="657" ht="15.75" customHeight="1">
      <c r="A657" s="19"/>
      <c r="B657" s="19"/>
      <c r="C657" s="19"/>
      <c r="D657" s="19"/>
      <c r="E657" s="19"/>
      <c r="F657" s="19"/>
    </row>
    <row r="658" ht="15.75" customHeight="1">
      <c r="A658" s="19"/>
      <c r="B658" s="19"/>
      <c r="C658" s="19"/>
      <c r="D658" s="19"/>
      <c r="E658" s="19"/>
      <c r="F658" s="19"/>
    </row>
    <row r="659" ht="15.75" customHeight="1">
      <c r="A659" s="19"/>
      <c r="B659" s="19"/>
      <c r="C659" s="19"/>
      <c r="D659" s="19"/>
      <c r="E659" s="19"/>
      <c r="F659" s="19"/>
    </row>
    <row r="660" ht="15.75" customHeight="1">
      <c r="A660" s="19"/>
      <c r="B660" s="19"/>
      <c r="C660" s="19"/>
      <c r="D660" s="19"/>
      <c r="E660" s="19"/>
      <c r="F660" s="19"/>
    </row>
    <row r="661" ht="15.75" customHeight="1">
      <c r="A661" s="19"/>
      <c r="B661" s="19"/>
      <c r="C661" s="19"/>
      <c r="D661" s="19"/>
      <c r="E661" s="19"/>
      <c r="F661" s="19"/>
    </row>
    <row r="662" ht="15.75" customHeight="1">
      <c r="A662" s="19"/>
      <c r="B662" s="19"/>
      <c r="C662" s="19"/>
      <c r="D662" s="19"/>
      <c r="E662" s="19"/>
      <c r="F662" s="19"/>
    </row>
    <row r="663" ht="15.75" customHeight="1">
      <c r="A663" s="19"/>
      <c r="B663" s="19"/>
      <c r="C663" s="19"/>
      <c r="D663" s="19"/>
      <c r="E663" s="19"/>
      <c r="F663" s="19"/>
    </row>
    <row r="664" ht="15.75" customHeight="1">
      <c r="A664" s="19"/>
      <c r="B664" s="19"/>
      <c r="C664" s="19"/>
      <c r="D664" s="19"/>
      <c r="E664" s="19"/>
      <c r="F664" s="19"/>
    </row>
    <row r="665" ht="15.75" customHeight="1">
      <c r="A665" s="19"/>
      <c r="B665" s="19"/>
      <c r="C665" s="19"/>
      <c r="D665" s="19"/>
      <c r="E665" s="19"/>
      <c r="F665" s="19"/>
    </row>
    <row r="666" ht="15.75" customHeight="1">
      <c r="A666" s="19"/>
      <c r="B666" s="19"/>
      <c r="C666" s="19"/>
      <c r="D666" s="19"/>
      <c r="E666" s="19"/>
      <c r="F666" s="19"/>
    </row>
    <row r="667" ht="15.75" customHeight="1">
      <c r="A667" s="19"/>
      <c r="B667" s="19"/>
      <c r="C667" s="19"/>
      <c r="D667" s="19"/>
      <c r="E667" s="19"/>
      <c r="F667" s="19"/>
    </row>
    <row r="668" ht="15.75" customHeight="1">
      <c r="A668" s="19"/>
      <c r="B668" s="19"/>
      <c r="C668" s="19"/>
      <c r="D668" s="19"/>
      <c r="E668" s="19"/>
      <c r="F668" s="19"/>
    </row>
    <row r="669" ht="15.75" customHeight="1">
      <c r="A669" s="19"/>
      <c r="B669" s="19"/>
      <c r="C669" s="19"/>
      <c r="D669" s="19"/>
      <c r="E669" s="19"/>
      <c r="F669" s="19"/>
    </row>
    <row r="670" ht="15.75" customHeight="1">
      <c r="A670" s="19"/>
      <c r="B670" s="19"/>
      <c r="C670" s="19"/>
      <c r="D670" s="19"/>
      <c r="E670" s="19"/>
      <c r="F670" s="19"/>
    </row>
    <row r="671" ht="15.75" customHeight="1">
      <c r="A671" s="19"/>
      <c r="B671" s="19"/>
      <c r="C671" s="19"/>
      <c r="D671" s="19"/>
      <c r="E671" s="19"/>
      <c r="F671" s="19"/>
    </row>
    <row r="672" ht="15.75" customHeight="1">
      <c r="A672" s="19"/>
      <c r="B672" s="19"/>
      <c r="C672" s="19"/>
      <c r="D672" s="19"/>
      <c r="E672" s="19"/>
      <c r="F672" s="19"/>
    </row>
    <row r="673" ht="15.75" customHeight="1">
      <c r="A673" s="19"/>
      <c r="B673" s="19"/>
      <c r="C673" s="19"/>
      <c r="D673" s="19"/>
      <c r="E673" s="19"/>
      <c r="F673" s="19"/>
    </row>
    <row r="674" ht="15.75" customHeight="1">
      <c r="A674" s="19"/>
      <c r="B674" s="19"/>
      <c r="C674" s="19"/>
      <c r="D674" s="19"/>
      <c r="E674" s="19"/>
      <c r="F674" s="19"/>
    </row>
    <row r="675" ht="15.75" customHeight="1">
      <c r="A675" s="19"/>
      <c r="B675" s="19"/>
      <c r="C675" s="19"/>
      <c r="D675" s="19"/>
      <c r="E675" s="19"/>
      <c r="F675" s="19"/>
    </row>
    <row r="676" ht="15.75" customHeight="1">
      <c r="A676" s="19"/>
      <c r="B676" s="19"/>
      <c r="C676" s="19"/>
      <c r="D676" s="19"/>
      <c r="E676" s="19"/>
      <c r="F676" s="19"/>
    </row>
    <row r="677" ht="15.75" customHeight="1">
      <c r="A677" s="19"/>
      <c r="B677" s="19"/>
      <c r="C677" s="19"/>
      <c r="D677" s="19"/>
      <c r="E677" s="19"/>
      <c r="F677" s="19"/>
    </row>
    <row r="678" ht="15.75" customHeight="1">
      <c r="A678" s="19"/>
      <c r="B678" s="19"/>
      <c r="C678" s="19"/>
      <c r="D678" s="19"/>
      <c r="E678" s="19"/>
      <c r="F678" s="19"/>
    </row>
    <row r="679" ht="15.75" customHeight="1">
      <c r="A679" s="19"/>
      <c r="B679" s="19"/>
      <c r="C679" s="19"/>
      <c r="D679" s="19"/>
      <c r="E679" s="19"/>
      <c r="F679" s="19"/>
    </row>
    <row r="680" ht="15.75" customHeight="1">
      <c r="A680" s="19"/>
      <c r="B680" s="19"/>
      <c r="C680" s="19"/>
      <c r="D680" s="19"/>
      <c r="E680" s="19"/>
      <c r="F680" s="19"/>
    </row>
    <row r="681" ht="15.75" customHeight="1">
      <c r="A681" s="19"/>
      <c r="B681" s="19"/>
      <c r="C681" s="19"/>
      <c r="D681" s="19"/>
      <c r="E681" s="19"/>
      <c r="F681" s="19"/>
    </row>
    <row r="682" ht="15.75" customHeight="1">
      <c r="A682" s="19"/>
      <c r="B682" s="19"/>
      <c r="C682" s="19"/>
      <c r="D682" s="19"/>
      <c r="E682" s="19"/>
      <c r="F682" s="19"/>
    </row>
    <row r="683" ht="15.75" customHeight="1">
      <c r="A683" s="19"/>
      <c r="B683" s="19"/>
      <c r="C683" s="19"/>
      <c r="D683" s="19"/>
      <c r="E683" s="19"/>
      <c r="F683" s="19"/>
    </row>
    <row r="684" ht="15.75" customHeight="1">
      <c r="A684" s="19"/>
      <c r="B684" s="19"/>
      <c r="C684" s="19"/>
      <c r="D684" s="19"/>
      <c r="E684" s="19"/>
      <c r="F684" s="19"/>
    </row>
    <row r="685" ht="15.75" customHeight="1">
      <c r="A685" s="19"/>
      <c r="B685" s="19"/>
      <c r="C685" s="19"/>
      <c r="D685" s="19"/>
      <c r="E685" s="19"/>
      <c r="F685" s="19"/>
    </row>
    <row r="686" ht="15.75" customHeight="1">
      <c r="A686" s="19"/>
      <c r="B686" s="19"/>
      <c r="C686" s="19"/>
      <c r="D686" s="19"/>
      <c r="E686" s="19"/>
      <c r="F686" s="19"/>
    </row>
    <row r="687" ht="15.75" customHeight="1">
      <c r="A687" s="19"/>
      <c r="B687" s="19"/>
      <c r="C687" s="19"/>
      <c r="D687" s="19"/>
      <c r="E687" s="19"/>
      <c r="F687" s="19"/>
    </row>
    <row r="688" ht="15.75" customHeight="1">
      <c r="A688" s="19"/>
      <c r="B688" s="19"/>
      <c r="C688" s="19"/>
      <c r="D688" s="19"/>
      <c r="E688" s="19"/>
      <c r="F688" s="19"/>
    </row>
    <row r="689" ht="15.75" customHeight="1">
      <c r="A689" s="19"/>
      <c r="B689" s="19"/>
      <c r="C689" s="19"/>
      <c r="D689" s="19"/>
      <c r="E689" s="19"/>
      <c r="F689" s="19"/>
    </row>
    <row r="690" ht="15.75" customHeight="1">
      <c r="A690" s="19"/>
      <c r="B690" s="19"/>
      <c r="C690" s="19"/>
      <c r="D690" s="19"/>
      <c r="E690" s="19"/>
      <c r="F690" s="19"/>
    </row>
    <row r="691" ht="15.75" customHeight="1">
      <c r="A691" s="19"/>
      <c r="B691" s="19"/>
      <c r="C691" s="19"/>
      <c r="D691" s="19"/>
      <c r="E691" s="19"/>
      <c r="F691" s="19"/>
    </row>
    <row r="692" ht="15.75" customHeight="1">
      <c r="A692" s="19"/>
      <c r="B692" s="19"/>
      <c r="C692" s="19"/>
      <c r="D692" s="19"/>
      <c r="E692" s="19"/>
      <c r="F692" s="19"/>
    </row>
    <row r="693" ht="15.75" customHeight="1">
      <c r="A693" s="19"/>
      <c r="B693" s="19"/>
      <c r="C693" s="19"/>
      <c r="D693" s="19"/>
      <c r="E693" s="19"/>
      <c r="F693" s="19"/>
    </row>
    <row r="694" ht="15.75" customHeight="1">
      <c r="A694" s="19"/>
      <c r="B694" s="19"/>
      <c r="C694" s="19"/>
      <c r="D694" s="19"/>
      <c r="E694" s="19"/>
      <c r="F694" s="19"/>
    </row>
    <row r="695" ht="15.75" customHeight="1">
      <c r="A695" s="19"/>
      <c r="B695" s="19"/>
      <c r="C695" s="19"/>
      <c r="D695" s="19"/>
      <c r="E695" s="19"/>
      <c r="F695" s="19"/>
    </row>
    <row r="696" ht="15.75" customHeight="1">
      <c r="A696" s="19"/>
      <c r="B696" s="19"/>
      <c r="C696" s="19"/>
      <c r="D696" s="19"/>
      <c r="E696" s="19"/>
      <c r="F696" s="19"/>
    </row>
    <row r="697" ht="15.75" customHeight="1">
      <c r="A697" s="19"/>
      <c r="B697" s="19"/>
      <c r="C697" s="19"/>
      <c r="D697" s="19"/>
      <c r="E697" s="19"/>
      <c r="F697" s="19"/>
    </row>
    <row r="698" ht="15.75" customHeight="1">
      <c r="A698" s="19"/>
      <c r="B698" s="19"/>
      <c r="C698" s="19"/>
      <c r="D698" s="19"/>
      <c r="E698" s="19"/>
      <c r="F698" s="19"/>
    </row>
    <row r="699" ht="15.75" customHeight="1">
      <c r="A699" s="19"/>
      <c r="B699" s="19"/>
      <c r="C699" s="19"/>
      <c r="D699" s="19"/>
      <c r="E699" s="19"/>
      <c r="F699" s="19"/>
    </row>
    <row r="700" ht="15.75" customHeight="1">
      <c r="A700" s="19"/>
      <c r="B700" s="19"/>
      <c r="C700" s="19"/>
      <c r="D700" s="19"/>
      <c r="E700" s="19"/>
      <c r="F700" s="19"/>
    </row>
    <row r="701" ht="15.75" customHeight="1">
      <c r="A701" s="19"/>
      <c r="B701" s="19"/>
      <c r="C701" s="19"/>
      <c r="D701" s="19"/>
      <c r="E701" s="19"/>
      <c r="F701" s="19"/>
    </row>
    <row r="702" ht="15.75" customHeight="1">
      <c r="A702" s="19"/>
      <c r="B702" s="19"/>
      <c r="C702" s="19"/>
      <c r="D702" s="19"/>
      <c r="E702" s="19"/>
      <c r="F702" s="19"/>
    </row>
    <row r="703" ht="15.75" customHeight="1">
      <c r="A703" s="19"/>
      <c r="B703" s="19"/>
      <c r="C703" s="19"/>
      <c r="D703" s="19"/>
      <c r="E703" s="19"/>
      <c r="F703" s="19"/>
    </row>
    <row r="704" ht="15.75" customHeight="1">
      <c r="A704" s="19"/>
      <c r="B704" s="19"/>
      <c r="C704" s="19"/>
      <c r="D704" s="19"/>
      <c r="E704" s="19"/>
      <c r="F704" s="19"/>
    </row>
    <row r="705" ht="15.75" customHeight="1">
      <c r="A705" s="19"/>
      <c r="B705" s="19"/>
      <c r="C705" s="19"/>
      <c r="D705" s="19"/>
      <c r="E705" s="19"/>
      <c r="F705" s="19"/>
    </row>
    <row r="706" ht="15.75" customHeight="1">
      <c r="A706" s="19"/>
      <c r="B706" s="19"/>
      <c r="C706" s="19"/>
      <c r="D706" s="19"/>
      <c r="E706" s="19"/>
      <c r="F706" s="19"/>
    </row>
    <row r="707" ht="15.75" customHeight="1">
      <c r="A707" s="19"/>
      <c r="B707" s="19"/>
      <c r="C707" s="19"/>
      <c r="D707" s="19"/>
      <c r="E707" s="19"/>
      <c r="F707" s="19"/>
    </row>
    <row r="708" ht="15.75" customHeight="1">
      <c r="A708" s="19"/>
      <c r="B708" s="19"/>
      <c r="C708" s="19"/>
      <c r="D708" s="19"/>
      <c r="E708" s="19"/>
      <c r="F708" s="19"/>
    </row>
    <row r="709" ht="15.75" customHeight="1">
      <c r="A709" s="19"/>
      <c r="B709" s="19"/>
      <c r="C709" s="19"/>
      <c r="D709" s="19"/>
      <c r="E709" s="19"/>
      <c r="F709" s="19"/>
    </row>
    <row r="710" ht="15.75" customHeight="1">
      <c r="A710" s="19"/>
      <c r="B710" s="19"/>
      <c r="C710" s="19"/>
      <c r="D710" s="19"/>
      <c r="E710" s="19"/>
      <c r="F710" s="19"/>
    </row>
    <row r="711" ht="15.75" customHeight="1">
      <c r="A711" s="19"/>
      <c r="B711" s="19"/>
      <c r="C711" s="19"/>
      <c r="D711" s="19"/>
      <c r="E711" s="19"/>
      <c r="F711" s="19"/>
    </row>
    <row r="712" ht="15.75" customHeight="1">
      <c r="A712" s="19"/>
      <c r="B712" s="19"/>
      <c r="C712" s="19"/>
      <c r="D712" s="19"/>
      <c r="E712" s="19"/>
      <c r="F712" s="19"/>
    </row>
    <row r="713" ht="15.75" customHeight="1">
      <c r="A713" s="19"/>
      <c r="B713" s="19"/>
      <c r="C713" s="19"/>
      <c r="D713" s="19"/>
      <c r="E713" s="19"/>
      <c r="F713" s="19"/>
    </row>
    <row r="714" ht="15.75" customHeight="1">
      <c r="A714" s="19"/>
      <c r="B714" s="19"/>
      <c r="C714" s="19"/>
      <c r="D714" s="19"/>
      <c r="E714" s="19"/>
      <c r="F714" s="19"/>
    </row>
    <row r="715" ht="15.75" customHeight="1">
      <c r="A715" s="19"/>
      <c r="B715" s="19"/>
      <c r="C715" s="19"/>
      <c r="D715" s="19"/>
      <c r="E715" s="19"/>
      <c r="F715" s="19"/>
    </row>
    <row r="716" ht="15.75" customHeight="1">
      <c r="A716" s="19"/>
      <c r="B716" s="19"/>
      <c r="C716" s="19"/>
      <c r="D716" s="19"/>
      <c r="E716" s="19"/>
      <c r="F716" s="19"/>
    </row>
    <row r="717" ht="15.75" customHeight="1">
      <c r="A717" s="19"/>
      <c r="B717" s="19"/>
      <c r="C717" s="19"/>
      <c r="D717" s="19"/>
      <c r="E717" s="19"/>
      <c r="F717" s="19"/>
    </row>
    <row r="718" ht="15.75" customHeight="1">
      <c r="A718" s="19"/>
      <c r="B718" s="19"/>
      <c r="C718" s="19"/>
      <c r="D718" s="19"/>
      <c r="E718" s="19"/>
      <c r="F718" s="19"/>
    </row>
    <row r="719" ht="15.75" customHeight="1">
      <c r="A719" s="19"/>
      <c r="B719" s="19"/>
      <c r="C719" s="19"/>
      <c r="D719" s="19"/>
      <c r="E719" s="19"/>
      <c r="F719" s="19"/>
    </row>
    <row r="720" ht="15.75" customHeight="1">
      <c r="A720" s="19"/>
      <c r="B720" s="19"/>
      <c r="C720" s="19"/>
      <c r="D720" s="19"/>
      <c r="E720" s="19"/>
      <c r="F720" s="19"/>
    </row>
    <row r="721" ht="15.75" customHeight="1">
      <c r="A721" s="19"/>
      <c r="B721" s="19"/>
      <c r="C721" s="19"/>
      <c r="D721" s="19"/>
      <c r="E721" s="19"/>
      <c r="F721" s="19"/>
    </row>
    <row r="722" ht="15.75" customHeight="1">
      <c r="A722" s="19"/>
      <c r="B722" s="19"/>
      <c r="C722" s="19"/>
      <c r="D722" s="19"/>
      <c r="E722" s="19"/>
      <c r="F722" s="19"/>
    </row>
    <row r="723" ht="15.75" customHeight="1">
      <c r="A723" s="19"/>
      <c r="B723" s="19"/>
      <c r="C723" s="19"/>
      <c r="D723" s="19"/>
      <c r="E723" s="19"/>
      <c r="F723" s="19"/>
    </row>
    <row r="724" ht="15.75" customHeight="1">
      <c r="A724" s="19"/>
      <c r="B724" s="19"/>
      <c r="C724" s="19"/>
      <c r="D724" s="19"/>
      <c r="E724" s="19"/>
      <c r="F724" s="19"/>
    </row>
    <row r="725" ht="15.75" customHeight="1">
      <c r="A725" s="19"/>
      <c r="B725" s="19"/>
      <c r="C725" s="19"/>
      <c r="D725" s="19"/>
      <c r="E725" s="19"/>
      <c r="F725" s="19"/>
    </row>
    <row r="726" ht="15.75" customHeight="1">
      <c r="A726" s="19"/>
      <c r="B726" s="19"/>
      <c r="C726" s="19"/>
      <c r="D726" s="19"/>
      <c r="E726" s="19"/>
      <c r="F726" s="19"/>
    </row>
    <row r="727" ht="15.75" customHeight="1">
      <c r="A727" s="19"/>
      <c r="B727" s="19"/>
      <c r="C727" s="19"/>
      <c r="D727" s="19"/>
      <c r="E727" s="19"/>
      <c r="F727" s="19"/>
    </row>
    <row r="728" ht="15.75" customHeight="1">
      <c r="A728" s="19"/>
      <c r="B728" s="19"/>
      <c r="C728" s="19"/>
      <c r="D728" s="19"/>
      <c r="E728" s="19"/>
      <c r="F728" s="19"/>
    </row>
    <row r="729" ht="15.75" customHeight="1">
      <c r="A729" s="19"/>
      <c r="B729" s="19"/>
      <c r="C729" s="19"/>
      <c r="D729" s="19"/>
      <c r="E729" s="19"/>
      <c r="F729" s="19"/>
    </row>
    <row r="730" ht="15.75" customHeight="1">
      <c r="A730" s="19"/>
      <c r="B730" s="19"/>
      <c r="C730" s="19"/>
      <c r="D730" s="19"/>
      <c r="E730" s="19"/>
      <c r="F730" s="19"/>
    </row>
    <row r="731" ht="15.75" customHeight="1">
      <c r="A731" s="19"/>
      <c r="B731" s="19"/>
      <c r="C731" s="19"/>
      <c r="D731" s="19"/>
      <c r="E731" s="19"/>
      <c r="F731" s="19"/>
    </row>
    <row r="732" ht="15.75" customHeight="1">
      <c r="A732" s="19"/>
      <c r="B732" s="19"/>
      <c r="C732" s="19"/>
      <c r="D732" s="19"/>
      <c r="E732" s="19"/>
      <c r="F732" s="19"/>
    </row>
    <row r="733" ht="15.75" customHeight="1">
      <c r="A733" s="19"/>
      <c r="B733" s="19"/>
      <c r="C733" s="19"/>
      <c r="D733" s="19"/>
      <c r="E733" s="19"/>
      <c r="F733" s="19"/>
    </row>
    <row r="734" ht="15.75" customHeight="1">
      <c r="A734" s="19"/>
      <c r="B734" s="19"/>
      <c r="C734" s="19"/>
      <c r="D734" s="19"/>
      <c r="E734" s="19"/>
      <c r="F734" s="19"/>
    </row>
    <row r="735" ht="15.75" customHeight="1">
      <c r="A735" s="19"/>
      <c r="B735" s="19"/>
      <c r="C735" s="19"/>
      <c r="D735" s="19"/>
      <c r="E735" s="19"/>
      <c r="F735" s="19"/>
    </row>
    <row r="736" ht="15.75" customHeight="1">
      <c r="A736" s="19"/>
      <c r="B736" s="19"/>
      <c r="C736" s="19"/>
      <c r="D736" s="19"/>
      <c r="E736" s="19"/>
      <c r="F736" s="19"/>
    </row>
    <row r="737" ht="15.75" customHeight="1">
      <c r="A737" s="19"/>
      <c r="B737" s="19"/>
      <c r="C737" s="19"/>
      <c r="D737" s="19"/>
      <c r="E737" s="19"/>
      <c r="F737" s="19"/>
    </row>
    <row r="738" ht="15.75" customHeight="1">
      <c r="A738" s="19"/>
      <c r="B738" s="19"/>
      <c r="C738" s="19"/>
      <c r="D738" s="19"/>
      <c r="E738" s="19"/>
      <c r="F738" s="19"/>
    </row>
    <row r="739" ht="15.75" customHeight="1">
      <c r="A739" s="19"/>
      <c r="B739" s="19"/>
      <c r="C739" s="19"/>
      <c r="D739" s="19"/>
      <c r="E739" s="19"/>
      <c r="F739" s="19"/>
    </row>
    <row r="740" ht="15.75" customHeight="1">
      <c r="A740" s="19"/>
      <c r="B740" s="19"/>
      <c r="C740" s="19"/>
      <c r="D740" s="19"/>
      <c r="E740" s="19"/>
      <c r="F740" s="19"/>
    </row>
    <row r="741" ht="15.75" customHeight="1">
      <c r="A741" s="19"/>
      <c r="B741" s="19"/>
      <c r="C741" s="19"/>
      <c r="D741" s="19"/>
      <c r="E741" s="19"/>
      <c r="F741" s="19"/>
    </row>
    <row r="742" ht="15.75" customHeight="1">
      <c r="A742" s="19"/>
      <c r="B742" s="19"/>
      <c r="C742" s="19"/>
      <c r="D742" s="19"/>
      <c r="E742" s="19"/>
      <c r="F742" s="19"/>
    </row>
    <row r="743" ht="15.75" customHeight="1">
      <c r="A743" s="19"/>
      <c r="B743" s="19"/>
      <c r="C743" s="19"/>
      <c r="D743" s="19"/>
      <c r="E743" s="19"/>
      <c r="F743" s="19"/>
    </row>
    <row r="744" ht="15.75" customHeight="1">
      <c r="A744" s="19"/>
      <c r="B744" s="19"/>
      <c r="C744" s="19"/>
      <c r="D744" s="19"/>
      <c r="E744" s="19"/>
      <c r="F744" s="19"/>
    </row>
    <row r="745" ht="15.75" customHeight="1">
      <c r="A745" s="19"/>
      <c r="B745" s="19"/>
      <c r="C745" s="19"/>
      <c r="D745" s="19"/>
      <c r="E745" s="19"/>
      <c r="F745" s="19"/>
    </row>
    <row r="746" ht="15.75" customHeight="1">
      <c r="A746" s="19"/>
      <c r="B746" s="19"/>
      <c r="C746" s="19"/>
      <c r="D746" s="19"/>
      <c r="E746" s="19"/>
      <c r="F746" s="19"/>
    </row>
    <row r="747" ht="15.75" customHeight="1">
      <c r="A747" s="19"/>
      <c r="B747" s="19"/>
      <c r="C747" s="19"/>
      <c r="D747" s="19"/>
      <c r="E747" s="19"/>
      <c r="F747" s="19"/>
    </row>
    <row r="748" ht="15.75" customHeight="1">
      <c r="A748" s="19"/>
      <c r="B748" s="19"/>
      <c r="C748" s="19"/>
      <c r="D748" s="19"/>
      <c r="E748" s="19"/>
      <c r="F748" s="19"/>
    </row>
    <row r="749" ht="15.75" customHeight="1">
      <c r="A749" s="19"/>
      <c r="B749" s="19"/>
      <c r="C749" s="19"/>
      <c r="D749" s="19"/>
      <c r="E749" s="19"/>
      <c r="F749" s="19"/>
    </row>
    <row r="750" ht="15.75" customHeight="1">
      <c r="A750" s="19"/>
      <c r="B750" s="19"/>
      <c r="C750" s="19"/>
      <c r="D750" s="19"/>
      <c r="E750" s="19"/>
      <c r="F750" s="19"/>
    </row>
    <row r="751" ht="15.75" customHeight="1">
      <c r="A751" s="19"/>
      <c r="B751" s="19"/>
      <c r="C751" s="19"/>
      <c r="D751" s="19"/>
      <c r="E751" s="19"/>
      <c r="F751" s="19"/>
    </row>
    <row r="752" ht="15.75" customHeight="1">
      <c r="A752" s="19"/>
      <c r="B752" s="19"/>
      <c r="C752" s="19"/>
      <c r="D752" s="19"/>
      <c r="E752" s="19"/>
      <c r="F752" s="19"/>
    </row>
    <row r="753" ht="15.75" customHeight="1">
      <c r="A753" s="19"/>
      <c r="B753" s="19"/>
      <c r="C753" s="19"/>
      <c r="D753" s="19"/>
      <c r="E753" s="19"/>
      <c r="F753" s="19"/>
    </row>
    <row r="754" ht="15.75" customHeight="1">
      <c r="A754" s="19"/>
      <c r="B754" s="19"/>
      <c r="C754" s="19"/>
      <c r="D754" s="19"/>
      <c r="E754" s="19"/>
      <c r="F754" s="19"/>
    </row>
    <row r="755" ht="15.75" customHeight="1">
      <c r="A755" s="19"/>
      <c r="B755" s="19"/>
      <c r="C755" s="19"/>
      <c r="D755" s="19"/>
      <c r="E755" s="19"/>
      <c r="F755" s="19"/>
    </row>
    <row r="756" ht="15.75" customHeight="1">
      <c r="A756" s="19"/>
      <c r="B756" s="19"/>
      <c r="C756" s="19"/>
      <c r="D756" s="19"/>
      <c r="E756" s="19"/>
      <c r="F756" s="19"/>
    </row>
    <row r="757" ht="15.75" customHeight="1">
      <c r="A757" s="19"/>
      <c r="B757" s="19"/>
      <c r="C757" s="19"/>
      <c r="D757" s="19"/>
      <c r="E757" s="19"/>
      <c r="F757" s="19"/>
    </row>
    <row r="758" ht="15.75" customHeight="1">
      <c r="A758" s="19"/>
      <c r="B758" s="19"/>
      <c r="C758" s="19"/>
      <c r="D758" s="19"/>
      <c r="E758" s="19"/>
      <c r="F758" s="19"/>
    </row>
    <row r="759" ht="15.75" customHeight="1">
      <c r="A759" s="19"/>
      <c r="B759" s="19"/>
      <c r="C759" s="19"/>
      <c r="D759" s="19"/>
      <c r="E759" s="19"/>
      <c r="F759" s="19"/>
    </row>
    <row r="760" ht="15.75" customHeight="1">
      <c r="A760" s="19"/>
      <c r="B760" s="19"/>
      <c r="C760" s="19"/>
      <c r="D760" s="19"/>
      <c r="E760" s="19"/>
      <c r="F760" s="19"/>
    </row>
    <row r="761" ht="15.75" customHeight="1">
      <c r="A761" s="19"/>
      <c r="B761" s="19"/>
      <c r="C761" s="19"/>
      <c r="D761" s="19"/>
      <c r="E761" s="19"/>
      <c r="F761" s="19"/>
    </row>
    <row r="762" ht="15.75" customHeight="1">
      <c r="A762" s="19"/>
      <c r="B762" s="19"/>
      <c r="C762" s="19"/>
      <c r="D762" s="19"/>
      <c r="E762" s="19"/>
      <c r="F762" s="19"/>
    </row>
    <row r="763" ht="15.75" customHeight="1">
      <c r="A763" s="19"/>
      <c r="B763" s="19"/>
      <c r="C763" s="19"/>
      <c r="D763" s="19"/>
      <c r="E763" s="19"/>
      <c r="F763" s="19"/>
    </row>
    <row r="764" ht="15.75" customHeight="1">
      <c r="A764" s="19"/>
      <c r="B764" s="19"/>
      <c r="C764" s="19"/>
      <c r="D764" s="19"/>
      <c r="E764" s="19"/>
      <c r="F764" s="19"/>
    </row>
    <row r="765" ht="15.75" customHeight="1">
      <c r="A765" s="19"/>
      <c r="B765" s="19"/>
      <c r="C765" s="19"/>
      <c r="D765" s="19"/>
      <c r="E765" s="19"/>
      <c r="F765" s="19"/>
    </row>
    <row r="766" ht="15.75" customHeight="1">
      <c r="A766" s="19"/>
      <c r="B766" s="19"/>
      <c r="C766" s="19"/>
      <c r="D766" s="19"/>
      <c r="E766" s="19"/>
      <c r="F766" s="19"/>
    </row>
    <row r="767" ht="15.75" customHeight="1">
      <c r="A767" s="19"/>
      <c r="B767" s="19"/>
      <c r="C767" s="19"/>
      <c r="D767" s="19"/>
      <c r="E767" s="19"/>
      <c r="F767" s="19"/>
    </row>
    <row r="768" ht="15.75" customHeight="1">
      <c r="A768" s="19"/>
      <c r="B768" s="19"/>
      <c r="C768" s="19"/>
      <c r="D768" s="19"/>
      <c r="E768" s="19"/>
      <c r="F768" s="19"/>
    </row>
    <row r="769" ht="15.75" customHeight="1">
      <c r="A769" s="19"/>
      <c r="B769" s="19"/>
      <c r="C769" s="19"/>
      <c r="D769" s="19"/>
      <c r="E769" s="19"/>
      <c r="F769" s="19"/>
    </row>
    <row r="770" ht="15.75" customHeight="1">
      <c r="A770" s="19"/>
      <c r="B770" s="19"/>
      <c r="C770" s="19"/>
      <c r="D770" s="19"/>
      <c r="E770" s="19"/>
      <c r="F770" s="19"/>
    </row>
    <row r="771" ht="15.75" customHeight="1">
      <c r="A771" s="19"/>
      <c r="B771" s="19"/>
      <c r="C771" s="19"/>
      <c r="D771" s="19"/>
      <c r="E771" s="19"/>
      <c r="F771" s="19"/>
    </row>
    <row r="772" ht="15.75" customHeight="1">
      <c r="A772" s="19"/>
      <c r="B772" s="19"/>
      <c r="C772" s="19"/>
      <c r="D772" s="19"/>
      <c r="E772" s="19"/>
      <c r="F772" s="19"/>
    </row>
    <row r="773" ht="15.75" customHeight="1">
      <c r="A773" s="19"/>
      <c r="B773" s="19"/>
      <c r="C773" s="19"/>
      <c r="D773" s="19"/>
      <c r="E773" s="19"/>
      <c r="F773" s="19"/>
    </row>
    <row r="774" ht="15.75" customHeight="1">
      <c r="A774" s="19"/>
      <c r="B774" s="19"/>
      <c r="C774" s="19"/>
      <c r="D774" s="19"/>
      <c r="E774" s="19"/>
      <c r="F774" s="19"/>
    </row>
    <row r="775" ht="15.75" customHeight="1">
      <c r="A775" s="19"/>
      <c r="B775" s="19"/>
      <c r="C775" s="19"/>
      <c r="D775" s="19"/>
      <c r="E775" s="19"/>
      <c r="F775" s="19"/>
    </row>
    <row r="776" ht="15.75" customHeight="1">
      <c r="A776" s="19"/>
      <c r="B776" s="19"/>
      <c r="C776" s="19"/>
      <c r="D776" s="19"/>
      <c r="E776" s="19"/>
      <c r="F776" s="19"/>
    </row>
    <row r="777" ht="15.75" customHeight="1">
      <c r="A777" s="19"/>
      <c r="B777" s="19"/>
      <c r="C777" s="19"/>
      <c r="D777" s="19"/>
      <c r="E777" s="19"/>
      <c r="F777" s="19"/>
    </row>
    <row r="778" ht="15.75" customHeight="1">
      <c r="A778" s="19"/>
      <c r="B778" s="19"/>
      <c r="C778" s="19"/>
      <c r="D778" s="19"/>
      <c r="E778" s="19"/>
      <c r="F778" s="19"/>
    </row>
    <row r="779" ht="15.75" customHeight="1">
      <c r="A779" s="19"/>
      <c r="B779" s="19"/>
      <c r="C779" s="19"/>
      <c r="D779" s="19"/>
      <c r="E779" s="19"/>
      <c r="F779" s="19"/>
    </row>
    <row r="780" ht="15.75" customHeight="1">
      <c r="A780" s="19"/>
      <c r="B780" s="19"/>
      <c r="C780" s="19"/>
      <c r="D780" s="19"/>
      <c r="E780" s="19"/>
      <c r="F780" s="19"/>
    </row>
    <row r="781" ht="15.75" customHeight="1">
      <c r="A781" s="19"/>
      <c r="B781" s="19"/>
      <c r="C781" s="19"/>
      <c r="D781" s="19"/>
      <c r="E781" s="19"/>
      <c r="F781" s="19"/>
    </row>
    <row r="782" ht="15.75" customHeight="1">
      <c r="A782" s="19"/>
      <c r="B782" s="19"/>
      <c r="C782" s="19"/>
      <c r="D782" s="19"/>
      <c r="E782" s="19"/>
      <c r="F782" s="19"/>
    </row>
    <row r="783" ht="15.75" customHeight="1">
      <c r="A783" s="19"/>
      <c r="B783" s="19"/>
      <c r="C783" s="19"/>
      <c r="D783" s="19"/>
      <c r="E783" s="19"/>
      <c r="F783" s="19"/>
    </row>
    <row r="784" ht="15.75" customHeight="1">
      <c r="A784" s="19"/>
      <c r="B784" s="19"/>
      <c r="C784" s="19"/>
      <c r="D784" s="19"/>
      <c r="E784" s="19"/>
      <c r="F784" s="19"/>
    </row>
    <row r="785" ht="15.75" customHeight="1">
      <c r="A785" s="19"/>
      <c r="B785" s="19"/>
      <c r="C785" s="19"/>
      <c r="D785" s="19"/>
      <c r="E785" s="19"/>
      <c r="F785" s="19"/>
    </row>
    <row r="786" ht="15.75" customHeight="1">
      <c r="A786" s="19"/>
      <c r="B786" s="19"/>
      <c r="C786" s="19"/>
      <c r="D786" s="19"/>
      <c r="E786" s="19"/>
      <c r="F786" s="19"/>
    </row>
    <row r="787" ht="15.75" customHeight="1">
      <c r="A787" s="19"/>
      <c r="B787" s="19"/>
      <c r="C787" s="19"/>
      <c r="D787" s="19"/>
      <c r="E787" s="19"/>
      <c r="F787" s="19"/>
    </row>
    <row r="788" ht="15.75" customHeight="1">
      <c r="A788" s="19"/>
      <c r="B788" s="19"/>
      <c r="C788" s="19"/>
      <c r="D788" s="19"/>
      <c r="E788" s="19"/>
      <c r="F788" s="19"/>
    </row>
    <row r="789" ht="15.75" customHeight="1">
      <c r="A789" s="19"/>
      <c r="B789" s="19"/>
      <c r="C789" s="19"/>
      <c r="D789" s="19"/>
      <c r="E789" s="19"/>
      <c r="F789" s="19"/>
    </row>
    <row r="790" ht="15.75" customHeight="1">
      <c r="A790" s="19"/>
      <c r="B790" s="19"/>
      <c r="C790" s="19"/>
      <c r="D790" s="19"/>
      <c r="E790" s="19"/>
      <c r="F790" s="19"/>
    </row>
    <row r="791" ht="15.75" customHeight="1">
      <c r="A791" s="19"/>
      <c r="B791" s="19"/>
      <c r="C791" s="19"/>
      <c r="D791" s="19"/>
      <c r="E791" s="19"/>
      <c r="F791" s="19"/>
    </row>
    <row r="792" ht="15.75" customHeight="1">
      <c r="A792" s="19"/>
      <c r="B792" s="19"/>
      <c r="C792" s="19"/>
      <c r="D792" s="19"/>
      <c r="E792" s="19"/>
      <c r="F792" s="19"/>
    </row>
    <row r="793" ht="15.75" customHeight="1">
      <c r="A793" s="19"/>
      <c r="B793" s="19"/>
      <c r="C793" s="19"/>
      <c r="D793" s="19"/>
      <c r="E793" s="19"/>
      <c r="F793" s="19"/>
    </row>
    <row r="794" ht="15.75" customHeight="1">
      <c r="A794" s="19"/>
      <c r="B794" s="19"/>
      <c r="C794" s="19"/>
      <c r="D794" s="19"/>
      <c r="E794" s="19"/>
      <c r="F794" s="19"/>
    </row>
    <row r="795" ht="15.75" customHeight="1">
      <c r="A795" s="19"/>
      <c r="B795" s="19"/>
      <c r="C795" s="19"/>
      <c r="D795" s="19"/>
      <c r="E795" s="19"/>
      <c r="F795" s="19"/>
    </row>
    <row r="796" ht="15.75" customHeight="1">
      <c r="A796" s="19"/>
      <c r="B796" s="19"/>
      <c r="C796" s="19"/>
      <c r="D796" s="19"/>
      <c r="E796" s="19"/>
      <c r="F796" s="19"/>
    </row>
    <row r="797" ht="15.75" customHeight="1">
      <c r="A797" s="19"/>
      <c r="B797" s="19"/>
      <c r="C797" s="19"/>
      <c r="D797" s="19"/>
      <c r="E797" s="19"/>
      <c r="F797" s="19"/>
    </row>
    <row r="798" ht="15.75" customHeight="1">
      <c r="A798" s="19"/>
      <c r="B798" s="19"/>
      <c r="C798" s="19"/>
      <c r="D798" s="19"/>
      <c r="E798" s="19"/>
      <c r="F798" s="19"/>
    </row>
    <row r="799" ht="15.75" customHeight="1">
      <c r="A799" s="19"/>
      <c r="B799" s="19"/>
      <c r="C799" s="19"/>
      <c r="D799" s="19"/>
      <c r="E799" s="19"/>
      <c r="F799" s="19"/>
    </row>
    <row r="800" ht="15.75" customHeight="1">
      <c r="A800" s="19"/>
      <c r="B800" s="19"/>
      <c r="C800" s="19"/>
      <c r="D800" s="19"/>
      <c r="E800" s="19"/>
      <c r="F800" s="19"/>
    </row>
    <row r="801" ht="15.75" customHeight="1">
      <c r="A801" s="19"/>
      <c r="B801" s="19"/>
      <c r="C801" s="19"/>
      <c r="D801" s="19"/>
      <c r="E801" s="19"/>
      <c r="F801" s="19"/>
    </row>
    <row r="802" ht="15.75" customHeight="1">
      <c r="A802" s="19"/>
      <c r="B802" s="19"/>
      <c r="C802" s="19"/>
      <c r="D802" s="19"/>
      <c r="E802" s="19"/>
      <c r="F802" s="19"/>
    </row>
    <row r="803" ht="15.75" customHeight="1">
      <c r="A803" s="19"/>
      <c r="B803" s="19"/>
      <c r="C803" s="19"/>
      <c r="D803" s="19"/>
      <c r="E803" s="19"/>
      <c r="F803" s="19"/>
    </row>
    <row r="804" ht="15.75" customHeight="1">
      <c r="A804" s="19"/>
      <c r="B804" s="19"/>
      <c r="C804" s="19"/>
      <c r="D804" s="19"/>
      <c r="E804" s="19"/>
      <c r="F804" s="19"/>
    </row>
    <row r="805" ht="15.75" customHeight="1">
      <c r="A805" s="19"/>
      <c r="B805" s="19"/>
      <c r="C805" s="19"/>
      <c r="D805" s="19"/>
      <c r="E805" s="19"/>
      <c r="F805" s="19"/>
    </row>
    <row r="806" ht="15.75" customHeight="1">
      <c r="A806" s="19"/>
      <c r="B806" s="19"/>
      <c r="C806" s="19"/>
      <c r="D806" s="19"/>
      <c r="E806" s="19"/>
      <c r="F806" s="19"/>
    </row>
    <row r="807" ht="15.75" customHeight="1">
      <c r="A807" s="19"/>
      <c r="B807" s="19"/>
      <c r="C807" s="19"/>
      <c r="D807" s="19"/>
      <c r="E807" s="19"/>
      <c r="F807" s="19"/>
    </row>
    <row r="808" ht="15.75" customHeight="1">
      <c r="A808" s="19"/>
      <c r="B808" s="19"/>
      <c r="C808" s="19"/>
      <c r="D808" s="19"/>
      <c r="E808" s="19"/>
      <c r="F808" s="19"/>
    </row>
    <row r="809" ht="15.75" customHeight="1">
      <c r="A809" s="19"/>
      <c r="B809" s="19"/>
      <c r="C809" s="19"/>
      <c r="D809" s="19"/>
      <c r="E809" s="19"/>
      <c r="F809" s="19"/>
    </row>
    <row r="810" ht="15.75" customHeight="1">
      <c r="A810" s="19"/>
      <c r="B810" s="19"/>
      <c r="C810" s="19"/>
      <c r="D810" s="19"/>
      <c r="E810" s="19"/>
      <c r="F810" s="19"/>
    </row>
    <row r="811" ht="15.75" customHeight="1">
      <c r="A811" s="19"/>
      <c r="B811" s="19"/>
      <c r="C811" s="19"/>
      <c r="D811" s="19"/>
      <c r="E811" s="19"/>
      <c r="F811" s="19"/>
    </row>
    <row r="812" ht="15.75" customHeight="1">
      <c r="A812" s="19"/>
      <c r="B812" s="19"/>
      <c r="C812" s="19"/>
      <c r="D812" s="19"/>
      <c r="E812" s="19"/>
      <c r="F812" s="19"/>
    </row>
    <row r="813" ht="15.75" customHeight="1">
      <c r="A813" s="19"/>
      <c r="B813" s="19"/>
      <c r="C813" s="19"/>
      <c r="D813" s="19"/>
      <c r="E813" s="19"/>
      <c r="F813" s="19"/>
    </row>
    <row r="814" ht="15.75" customHeight="1">
      <c r="A814" s="19"/>
      <c r="B814" s="19"/>
      <c r="C814" s="19"/>
      <c r="D814" s="19"/>
      <c r="E814" s="19"/>
      <c r="F814" s="19"/>
    </row>
    <row r="815" ht="15.75" customHeight="1">
      <c r="A815" s="19"/>
      <c r="B815" s="19"/>
      <c r="C815" s="19"/>
      <c r="D815" s="19"/>
      <c r="E815" s="19"/>
      <c r="F815" s="19"/>
    </row>
    <row r="816" ht="15.75" customHeight="1">
      <c r="A816" s="19"/>
      <c r="B816" s="19"/>
      <c r="C816" s="19"/>
      <c r="D816" s="19"/>
      <c r="E816" s="19"/>
      <c r="F816" s="19"/>
    </row>
    <row r="817" ht="15.75" customHeight="1">
      <c r="A817" s="19"/>
      <c r="B817" s="19"/>
      <c r="C817" s="19"/>
      <c r="D817" s="19"/>
      <c r="E817" s="19"/>
      <c r="F817" s="19"/>
    </row>
    <row r="818" ht="15.75" customHeight="1">
      <c r="A818" s="19"/>
      <c r="B818" s="19"/>
      <c r="C818" s="19"/>
      <c r="D818" s="19"/>
      <c r="E818" s="19"/>
      <c r="F818" s="19"/>
    </row>
    <row r="819" ht="15.75" customHeight="1">
      <c r="A819" s="19"/>
      <c r="B819" s="19"/>
      <c r="C819" s="19"/>
      <c r="D819" s="19"/>
      <c r="E819" s="19"/>
      <c r="F819" s="19"/>
    </row>
    <row r="820" ht="15.75" customHeight="1">
      <c r="A820" s="19"/>
      <c r="B820" s="19"/>
      <c r="C820" s="19"/>
      <c r="D820" s="19"/>
      <c r="E820" s="19"/>
      <c r="F820" s="19"/>
    </row>
    <row r="821" ht="15.75" customHeight="1">
      <c r="A821" s="19"/>
      <c r="B821" s="19"/>
      <c r="C821" s="19"/>
      <c r="D821" s="19"/>
      <c r="E821" s="19"/>
      <c r="F821" s="19"/>
    </row>
    <row r="822" ht="15.75" customHeight="1">
      <c r="A822" s="19"/>
      <c r="B822" s="19"/>
      <c r="C822" s="19"/>
      <c r="D822" s="19"/>
      <c r="E822" s="19"/>
      <c r="F822" s="19"/>
    </row>
    <row r="823" ht="15.75" customHeight="1">
      <c r="A823" s="19"/>
      <c r="B823" s="19"/>
      <c r="C823" s="19"/>
      <c r="D823" s="19"/>
      <c r="E823" s="19"/>
      <c r="F823" s="19"/>
    </row>
    <row r="824" ht="15.75" customHeight="1">
      <c r="A824" s="19"/>
      <c r="B824" s="19"/>
      <c r="C824" s="19"/>
      <c r="D824" s="19"/>
      <c r="E824" s="19"/>
      <c r="F824" s="19"/>
    </row>
    <row r="825" ht="15.75" customHeight="1">
      <c r="A825" s="19"/>
      <c r="B825" s="19"/>
      <c r="C825" s="19"/>
      <c r="D825" s="19"/>
      <c r="E825" s="19"/>
      <c r="F825" s="19"/>
    </row>
    <row r="826" ht="15.75" customHeight="1">
      <c r="A826" s="19"/>
      <c r="B826" s="19"/>
      <c r="C826" s="19"/>
      <c r="D826" s="19"/>
      <c r="E826" s="19"/>
      <c r="F826" s="19"/>
    </row>
    <row r="827" ht="15.75" customHeight="1">
      <c r="A827" s="19"/>
      <c r="B827" s="19"/>
      <c r="C827" s="19"/>
      <c r="D827" s="19"/>
      <c r="E827" s="19"/>
      <c r="F827" s="19"/>
    </row>
    <row r="828" ht="15.75" customHeight="1">
      <c r="A828" s="19"/>
      <c r="B828" s="19"/>
      <c r="C828" s="19"/>
      <c r="D828" s="19"/>
      <c r="E828" s="19"/>
      <c r="F828" s="19"/>
    </row>
    <row r="829" ht="15.75" customHeight="1">
      <c r="A829" s="19"/>
      <c r="B829" s="19"/>
      <c r="C829" s="19"/>
      <c r="D829" s="19"/>
      <c r="E829" s="19"/>
      <c r="F829" s="19"/>
    </row>
    <row r="830" ht="15.75" customHeight="1">
      <c r="A830" s="19"/>
      <c r="B830" s="19"/>
      <c r="C830" s="19"/>
      <c r="D830" s="19"/>
      <c r="E830" s="19"/>
      <c r="F830" s="19"/>
    </row>
    <row r="831" ht="15.75" customHeight="1">
      <c r="A831" s="19"/>
      <c r="B831" s="19"/>
      <c r="C831" s="19"/>
      <c r="D831" s="19"/>
      <c r="E831" s="19"/>
      <c r="F831" s="19"/>
    </row>
    <row r="832" ht="15.75" customHeight="1">
      <c r="A832" s="19"/>
      <c r="B832" s="19"/>
      <c r="C832" s="19"/>
      <c r="D832" s="19"/>
      <c r="E832" s="19"/>
      <c r="F832" s="19"/>
    </row>
    <row r="833" ht="15.75" customHeight="1">
      <c r="A833" s="19"/>
      <c r="B833" s="19"/>
      <c r="C833" s="19"/>
      <c r="D833" s="19"/>
      <c r="E833" s="19"/>
      <c r="F833" s="19"/>
    </row>
    <row r="834" ht="15.75" customHeight="1">
      <c r="A834" s="19"/>
      <c r="B834" s="19"/>
      <c r="C834" s="19"/>
      <c r="D834" s="19"/>
      <c r="E834" s="19"/>
      <c r="F834" s="19"/>
    </row>
    <row r="835" ht="15.75" customHeight="1">
      <c r="A835" s="19"/>
      <c r="B835" s="19"/>
      <c r="C835" s="19"/>
      <c r="D835" s="19"/>
      <c r="E835" s="19"/>
      <c r="F835" s="19"/>
    </row>
    <row r="836" ht="15.75" customHeight="1">
      <c r="A836" s="19"/>
      <c r="B836" s="19"/>
      <c r="C836" s="19"/>
      <c r="D836" s="19"/>
      <c r="E836" s="19"/>
      <c r="F836" s="19"/>
    </row>
    <row r="837" ht="15.75" customHeight="1">
      <c r="A837" s="19"/>
      <c r="B837" s="19"/>
      <c r="C837" s="19"/>
      <c r="D837" s="19"/>
      <c r="E837" s="19"/>
      <c r="F837" s="19"/>
    </row>
    <row r="838" ht="15.75" customHeight="1">
      <c r="A838" s="19"/>
      <c r="B838" s="19"/>
      <c r="C838" s="19"/>
      <c r="D838" s="19"/>
      <c r="E838" s="19"/>
      <c r="F838" s="19"/>
    </row>
    <row r="839" ht="15.75" customHeight="1">
      <c r="A839" s="19"/>
      <c r="B839" s="19"/>
      <c r="C839" s="19"/>
      <c r="D839" s="19"/>
      <c r="E839" s="19"/>
      <c r="F839" s="19"/>
    </row>
    <row r="840" ht="15.75" customHeight="1">
      <c r="A840" s="19"/>
      <c r="B840" s="19"/>
      <c r="C840" s="19"/>
      <c r="D840" s="19"/>
      <c r="E840" s="19"/>
      <c r="F840" s="19"/>
    </row>
    <row r="841" ht="15.75" customHeight="1">
      <c r="A841" s="19"/>
      <c r="B841" s="19"/>
      <c r="C841" s="19"/>
      <c r="D841" s="19"/>
      <c r="E841" s="19"/>
      <c r="F841" s="19"/>
    </row>
    <row r="842" ht="15.75" customHeight="1">
      <c r="A842" s="19"/>
      <c r="B842" s="19"/>
      <c r="C842" s="19"/>
      <c r="D842" s="19"/>
      <c r="E842" s="19"/>
      <c r="F842" s="19"/>
    </row>
    <row r="843" ht="15.75" customHeight="1">
      <c r="A843" s="19"/>
      <c r="B843" s="19"/>
      <c r="C843" s="19"/>
      <c r="D843" s="19"/>
      <c r="E843" s="19"/>
      <c r="F843" s="19"/>
    </row>
    <row r="844" ht="15.75" customHeight="1">
      <c r="A844" s="19"/>
      <c r="B844" s="19"/>
      <c r="C844" s="19"/>
      <c r="D844" s="19"/>
      <c r="E844" s="19"/>
      <c r="F844" s="19"/>
    </row>
    <row r="845" ht="15.75" customHeight="1">
      <c r="A845" s="19"/>
      <c r="B845" s="19"/>
      <c r="C845" s="19"/>
      <c r="D845" s="19"/>
      <c r="E845" s="19"/>
      <c r="F845" s="19"/>
    </row>
    <row r="846" ht="15.75" customHeight="1">
      <c r="A846" s="19"/>
      <c r="B846" s="19"/>
      <c r="C846" s="19"/>
      <c r="D846" s="19"/>
      <c r="E846" s="19"/>
      <c r="F846" s="19"/>
    </row>
    <row r="847" ht="15.75" customHeight="1">
      <c r="A847" s="19"/>
      <c r="B847" s="19"/>
      <c r="C847" s="19"/>
      <c r="D847" s="19"/>
      <c r="E847" s="19"/>
      <c r="F847" s="19"/>
    </row>
    <row r="848" ht="15.75" customHeight="1">
      <c r="A848" s="19"/>
      <c r="B848" s="19"/>
      <c r="C848" s="19"/>
      <c r="D848" s="19"/>
      <c r="E848" s="19"/>
      <c r="F848" s="19"/>
    </row>
    <row r="849" ht="15.75" customHeight="1">
      <c r="A849" s="19"/>
      <c r="B849" s="19"/>
      <c r="C849" s="19"/>
      <c r="D849" s="19"/>
      <c r="E849" s="19"/>
      <c r="F849" s="19"/>
    </row>
    <row r="850" ht="15.75" customHeight="1">
      <c r="A850" s="19"/>
      <c r="B850" s="19"/>
      <c r="C850" s="19"/>
      <c r="D850" s="19"/>
      <c r="E850" s="19"/>
      <c r="F850" s="19"/>
    </row>
    <row r="851" ht="15.75" customHeight="1">
      <c r="A851" s="19"/>
      <c r="B851" s="19"/>
      <c r="C851" s="19"/>
      <c r="D851" s="19"/>
      <c r="E851" s="19"/>
      <c r="F851" s="19"/>
    </row>
    <row r="852" ht="15.75" customHeight="1">
      <c r="A852" s="19"/>
      <c r="B852" s="19"/>
      <c r="C852" s="19"/>
      <c r="D852" s="19"/>
      <c r="E852" s="19"/>
      <c r="F852" s="19"/>
    </row>
    <row r="853" ht="15.75" customHeight="1">
      <c r="A853" s="19"/>
      <c r="B853" s="19"/>
      <c r="C853" s="19"/>
      <c r="D853" s="19"/>
      <c r="E853" s="19"/>
      <c r="F853" s="19"/>
    </row>
    <row r="854" ht="15.75" customHeight="1">
      <c r="A854" s="19"/>
      <c r="B854" s="19"/>
      <c r="C854" s="19"/>
      <c r="D854" s="19"/>
      <c r="E854" s="19"/>
      <c r="F854" s="19"/>
    </row>
    <row r="855" ht="15.75" customHeight="1">
      <c r="A855" s="19"/>
      <c r="B855" s="19"/>
      <c r="C855" s="19"/>
      <c r="D855" s="19"/>
      <c r="E855" s="19"/>
      <c r="F855" s="19"/>
    </row>
    <row r="856" ht="15.75" customHeight="1">
      <c r="A856" s="19"/>
      <c r="B856" s="19"/>
      <c r="C856" s="19"/>
      <c r="D856" s="19"/>
      <c r="E856" s="19"/>
      <c r="F856" s="19"/>
    </row>
    <row r="857" ht="15.75" customHeight="1">
      <c r="A857" s="19"/>
      <c r="B857" s="19"/>
      <c r="C857" s="19"/>
      <c r="D857" s="19"/>
      <c r="E857" s="19"/>
      <c r="F857" s="19"/>
    </row>
    <row r="858" ht="15.75" customHeight="1">
      <c r="A858" s="19"/>
      <c r="B858" s="19"/>
      <c r="C858" s="19"/>
      <c r="D858" s="19"/>
      <c r="E858" s="19"/>
      <c r="F858" s="19"/>
    </row>
    <row r="859" ht="15.75" customHeight="1">
      <c r="A859" s="19"/>
      <c r="B859" s="19"/>
      <c r="C859" s="19"/>
      <c r="D859" s="19"/>
      <c r="E859" s="19"/>
      <c r="F859" s="19"/>
    </row>
    <row r="860" ht="15.75" customHeight="1">
      <c r="A860" s="19"/>
      <c r="B860" s="19"/>
      <c r="C860" s="19"/>
      <c r="D860" s="19"/>
      <c r="E860" s="19"/>
      <c r="F860" s="19"/>
    </row>
    <row r="861" ht="15.75" customHeight="1">
      <c r="A861" s="19"/>
      <c r="B861" s="19"/>
      <c r="C861" s="19"/>
      <c r="D861" s="19"/>
      <c r="E861" s="19"/>
      <c r="F861" s="19"/>
    </row>
    <row r="862" ht="15.75" customHeight="1">
      <c r="A862" s="19"/>
      <c r="B862" s="19"/>
      <c r="C862" s="19"/>
      <c r="D862" s="19"/>
      <c r="E862" s="19"/>
      <c r="F862" s="19"/>
    </row>
    <row r="863" ht="15.75" customHeight="1">
      <c r="A863" s="19"/>
      <c r="B863" s="19"/>
      <c r="C863" s="19"/>
      <c r="D863" s="19"/>
      <c r="E863" s="19"/>
      <c r="F863" s="19"/>
    </row>
    <row r="864" ht="15.75" customHeight="1">
      <c r="A864" s="19"/>
      <c r="B864" s="19"/>
      <c r="C864" s="19"/>
      <c r="D864" s="19"/>
      <c r="E864" s="19"/>
      <c r="F864" s="19"/>
    </row>
    <row r="865" ht="15.75" customHeight="1">
      <c r="A865" s="19"/>
      <c r="B865" s="19"/>
      <c r="C865" s="19"/>
      <c r="D865" s="19"/>
      <c r="E865" s="19"/>
      <c r="F865" s="19"/>
    </row>
    <row r="866" ht="15.75" customHeight="1">
      <c r="A866" s="19"/>
      <c r="B866" s="19"/>
      <c r="C866" s="19"/>
      <c r="D866" s="19"/>
      <c r="E866" s="19"/>
      <c r="F866" s="19"/>
    </row>
    <row r="867" ht="15.75" customHeight="1">
      <c r="A867" s="19"/>
      <c r="B867" s="19"/>
      <c r="C867" s="19"/>
      <c r="D867" s="19"/>
      <c r="E867" s="19"/>
      <c r="F867" s="19"/>
    </row>
    <row r="868" ht="15.75" customHeight="1">
      <c r="A868" s="19"/>
      <c r="B868" s="19"/>
      <c r="C868" s="19"/>
      <c r="D868" s="19"/>
      <c r="E868" s="19"/>
      <c r="F868" s="19"/>
    </row>
    <row r="869" ht="15.75" customHeight="1">
      <c r="A869" s="19"/>
      <c r="B869" s="19"/>
      <c r="C869" s="19"/>
      <c r="D869" s="19"/>
      <c r="E869" s="19"/>
      <c r="F869" s="19"/>
    </row>
    <row r="870" ht="15.75" customHeight="1">
      <c r="A870" s="19"/>
      <c r="B870" s="19"/>
      <c r="C870" s="19"/>
      <c r="D870" s="19"/>
      <c r="E870" s="19"/>
      <c r="F870" s="19"/>
    </row>
    <row r="871" ht="15.75" customHeight="1">
      <c r="A871" s="19"/>
      <c r="B871" s="19"/>
      <c r="C871" s="19"/>
      <c r="D871" s="19"/>
      <c r="E871" s="19"/>
      <c r="F871" s="19"/>
    </row>
    <row r="872" ht="15.75" customHeight="1">
      <c r="A872" s="19"/>
      <c r="B872" s="19"/>
      <c r="C872" s="19"/>
      <c r="D872" s="19"/>
      <c r="E872" s="19"/>
      <c r="F872" s="19"/>
    </row>
    <row r="873" ht="15.75" customHeight="1">
      <c r="A873" s="19"/>
      <c r="B873" s="19"/>
      <c r="C873" s="19"/>
      <c r="D873" s="19"/>
      <c r="E873" s="19"/>
      <c r="F873" s="19"/>
    </row>
    <row r="874" ht="15.75" customHeight="1">
      <c r="A874" s="19"/>
      <c r="B874" s="19"/>
      <c r="C874" s="19"/>
      <c r="D874" s="19"/>
      <c r="E874" s="19"/>
      <c r="F874" s="19"/>
    </row>
    <row r="875" ht="15.75" customHeight="1">
      <c r="A875" s="19"/>
      <c r="B875" s="19"/>
      <c r="C875" s="19"/>
      <c r="D875" s="19"/>
      <c r="E875" s="19"/>
      <c r="F875" s="19"/>
    </row>
    <row r="876" ht="15.75" customHeight="1">
      <c r="A876" s="19"/>
      <c r="B876" s="19"/>
      <c r="C876" s="19"/>
      <c r="D876" s="19"/>
      <c r="E876" s="19"/>
      <c r="F876" s="19"/>
    </row>
    <row r="877" ht="15.75" customHeight="1">
      <c r="A877" s="19"/>
      <c r="B877" s="19"/>
      <c r="C877" s="19"/>
      <c r="D877" s="19"/>
      <c r="E877" s="19"/>
      <c r="F877" s="19"/>
    </row>
    <row r="878" ht="15.75" customHeight="1">
      <c r="A878" s="19"/>
      <c r="B878" s="19"/>
      <c r="C878" s="19"/>
      <c r="D878" s="19"/>
      <c r="E878" s="19"/>
      <c r="F878" s="19"/>
    </row>
    <row r="879" ht="15.75" customHeight="1">
      <c r="A879" s="19"/>
      <c r="B879" s="19"/>
      <c r="C879" s="19"/>
      <c r="D879" s="19"/>
      <c r="E879" s="19"/>
      <c r="F879" s="19"/>
    </row>
    <row r="880" ht="15.75" customHeight="1">
      <c r="A880" s="19"/>
      <c r="B880" s="19"/>
      <c r="C880" s="19"/>
      <c r="D880" s="19"/>
      <c r="E880" s="19"/>
      <c r="F880" s="19"/>
    </row>
    <row r="881" ht="15.75" customHeight="1">
      <c r="A881" s="19"/>
      <c r="B881" s="19"/>
      <c r="C881" s="19"/>
      <c r="D881" s="19"/>
      <c r="E881" s="19"/>
      <c r="F881" s="19"/>
    </row>
    <row r="882" ht="15.75" customHeight="1">
      <c r="A882" s="19"/>
      <c r="B882" s="19"/>
      <c r="C882" s="19"/>
      <c r="D882" s="19"/>
      <c r="E882" s="19"/>
      <c r="F882" s="19"/>
    </row>
    <row r="883" ht="15.75" customHeight="1">
      <c r="A883" s="19"/>
      <c r="B883" s="19"/>
      <c r="C883" s="19"/>
      <c r="D883" s="19"/>
      <c r="E883" s="19"/>
      <c r="F883" s="19"/>
    </row>
    <row r="884" ht="15.75" customHeight="1">
      <c r="A884" s="19"/>
      <c r="B884" s="19"/>
      <c r="C884" s="19"/>
      <c r="D884" s="19"/>
      <c r="E884" s="19"/>
      <c r="F884" s="19"/>
    </row>
    <row r="885" ht="15.75" customHeight="1">
      <c r="A885" s="19"/>
      <c r="B885" s="19"/>
      <c r="C885" s="19"/>
      <c r="D885" s="19"/>
      <c r="E885" s="19"/>
      <c r="F885" s="19"/>
    </row>
    <row r="886" ht="15.75" customHeight="1">
      <c r="A886" s="19"/>
      <c r="B886" s="19"/>
      <c r="C886" s="19"/>
      <c r="D886" s="19"/>
      <c r="E886" s="19"/>
      <c r="F886" s="19"/>
    </row>
    <row r="887" ht="15.75" customHeight="1">
      <c r="A887" s="19"/>
      <c r="B887" s="19"/>
      <c r="C887" s="19"/>
      <c r="D887" s="19"/>
      <c r="E887" s="19"/>
      <c r="F887" s="19"/>
    </row>
    <row r="888" ht="15.75" customHeight="1">
      <c r="A888" s="19"/>
      <c r="B888" s="19"/>
      <c r="C888" s="19"/>
      <c r="D888" s="19"/>
      <c r="E888" s="19"/>
      <c r="F888" s="19"/>
    </row>
    <row r="889" ht="15.75" customHeight="1">
      <c r="A889" s="19"/>
      <c r="B889" s="19"/>
      <c r="C889" s="19"/>
      <c r="D889" s="19"/>
      <c r="E889" s="19"/>
      <c r="F889" s="19"/>
    </row>
    <row r="890" ht="15.75" customHeight="1">
      <c r="A890" s="19"/>
      <c r="B890" s="19"/>
      <c r="C890" s="19"/>
      <c r="D890" s="19"/>
      <c r="E890" s="19"/>
      <c r="F890" s="19"/>
    </row>
    <row r="891" ht="15.75" customHeight="1">
      <c r="A891" s="19"/>
      <c r="B891" s="19"/>
      <c r="C891" s="19"/>
      <c r="D891" s="19"/>
      <c r="E891" s="19"/>
      <c r="F891" s="19"/>
    </row>
    <row r="892" ht="15.75" customHeight="1">
      <c r="A892" s="19"/>
      <c r="B892" s="19"/>
      <c r="C892" s="19"/>
      <c r="D892" s="19"/>
      <c r="E892" s="19"/>
      <c r="F892" s="19"/>
    </row>
    <row r="893" ht="15.75" customHeight="1">
      <c r="A893" s="19"/>
      <c r="B893" s="19"/>
      <c r="C893" s="19"/>
      <c r="D893" s="19"/>
      <c r="E893" s="19"/>
      <c r="F893" s="19"/>
    </row>
    <row r="894" ht="15.75" customHeight="1">
      <c r="A894" s="19"/>
      <c r="B894" s="19"/>
      <c r="C894" s="19"/>
      <c r="D894" s="19"/>
      <c r="E894" s="19"/>
      <c r="F894" s="19"/>
    </row>
    <row r="895" ht="15.75" customHeight="1">
      <c r="A895" s="19"/>
      <c r="B895" s="19"/>
      <c r="C895" s="19"/>
      <c r="D895" s="19"/>
      <c r="E895" s="19"/>
      <c r="F895" s="19"/>
    </row>
    <row r="896" ht="15.75" customHeight="1">
      <c r="A896" s="19"/>
      <c r="B896" s="19"/>
      <c r="C896" s="19"/>
      <c r="D896" s="19"/>
      <c r="E896" s="19"/>
      <c r="F896" s="19"/>
    </row>
    <row r="897" ht="15.75" customHeight="1">
      <c r="A897" s="19"/>
      <c r="B897" s="19"/>
      <c r="C897" s="19"/>
      <c r="D897" s="19"/>
      <c r="E897" s="19"/>
      <c r="F897" s="19"/>
    </row>
    <row r="898" ht="15.75" customHeight="1">
      <c r="A898" s="19"/>
      <c r="B898" s="19"/>
      <c r="C898" s="19"/>
      <c r="D898" s="19"/>
      <c r="E898" s="19"/>
      <c r="F898" s="19"/>
    </row>
    <row r="899" ht="15.75" customHeight="1">
      <c r="A899" s="19"/>
      <c r="B899" s="19"/>
      <c r="C899" s="19"/>
      <c r="D899" s="19"/>
      <c r="E899" s="19"/>
      <c r="F899" s="19"/>
    </row>
    <row r="900" ht="15.75" customHeight="1">
      <c r="A900" s="19"/>
      <c r="B900" s="19"/>
      <c r="C900" s="19"/>
      <c r="D900" s="19"/>
      <c r="E900" s="19"/>
      <c r="F900" s="19"/>
    </row>
    <row r="901" ht="15.75" customHeight="1">
      <c r="A901" s="19"/>
      <c r="B901" s="19"/>
      <c r="C901" s="19"/>
      <c r="D901" s="19"/>
      <c r="E901" s="19"/>
      <c r="F901" s="19"/>
    </row>
    <row r="902" ht="15.75" customHeight="1">
      <c r="A902" s="19"/>
      <c r="B902" s="19"/>
      <c r="C902" s="19"/>
      <c r="D902" s="19"/>
      <c r="E902" s="19"/>
      <c r="F902" s="19"/>
    </row>
    <row r="903" ht="15.75" customHeight="1">
      <c r="A903" s="19"/>
      <c r="B903" s="19"/>
      <c r="C903" s="19"/>
      <c r="D903" s="19"/>
      <c r="E903" s="19"/>
      <c r="F903" s="19"/>
    </row>
    <row r="904" ht="15.75" customHeight="1">
      <c r="A904" s="19"/>
      <c r="B904" s="19"/>
      <c r="C904" s="19"/>
      <c r="D904" s="19"/>
      <c r="E904" s="19"/>
      <c r="F904" s="19"/>
    </row>
    <row r="905" ht="15.75" customHeight="1">
      <c r="A905" s="19"/>
      <c r="B905" s="19"/>
      <c r="C905" s="19"/>
      <c r="D905" s="19"/>
      <c r="E905" s="19"/>
      <c r="F905" s="19"/>
    </row>
    <row r="906" ht="15.75" customHeight="1">
      <c r="A906" s="19"/>
      <c r="B906" s="19"/>
      <c r="C906" s="19"/>
      <c r="D906" s="19"/>
      <c r="E906" s="19"/>
      <c r="F906" s="19"/>
    </row>
    <row r="907" ht="15.75" customHeight="1">
      <c r="A907" s="19"/>
      <c r="B907" s="19"/>
      <c r="C907" s="19"/>
      <c r="D907" s="19"/>
      <c r="E907" s="19"/>
      <c r="F907" s="19"/>
    </row>
    <row r="908" ht="15.75" customHeight="1">
      <c r="A908" s="19"/>
      <c r="B908" s="19"/>
      <c r="C908" s="19"/>
      <c r="D908" s="19"/>
      <c r="E908" s="19"/>
      <c r="F908" s="19"/>
    </row>
    <row r="909" ht="15.75" customHeight="1">
      <c r="A909" s="19"/>
      <c r="B909" s="19"/>
      <c r="C909" s="19"/>
      <c r="D909" s="19"/>
      <c r="E909" s="19"/>
      <c r="F909" s="19"/>
    </row>
    <row r="910" ht="15.75" customHeight="1">
      <c r="A910" s="19"/>
      <c r="B910" s="19"/>
      <c r="C910" s="19"/>
      <c r="D910" s="19"/>
      <c r="E910" s="19"/>
      <c r="F910" s="19"/>
    </row>
    <row r="911" ht="15.75" customHeight="1">
      <c r="A911" s="19"/>
      <c r="B911" s="19"/>
      <c r="C911" s="19"/>
      <c r="D911" s="19"/>
      <c r="E911" s="19"/>
      <c r="F911" s="19"/>
    </row>
    <row r="912" ht="15.75" customHeight="1">
      <c r="A912" s="19"/>
      <c r="B912" s="19"/>
      <c r="C912" s="19"/>
      <c r="D912" s="19"/>
      <c r="E912" s="19"/>
      <c r="F912" s="19"/>
    </row>
    <row r="913" ht="15.75" customHeight="1">
      <c r="A913" s="19"/>
      <c r="B913" s="19"/>
      <c r="C913" s="19"/>
      <c r="D913" s="19"/>
      <c r="E913" s="19"/>
      <c r="F913" s="19"/>
    </row>
    <row r="914" ht="15.75" customHeight="1">
      <c r="A914" s="19"/>
      <c r="B914" s="19"/>
      <c r="C914" s="19"/>
      <c r="D914" s="19"/>
      <c r="E914" s="19"/>
      <c r="F914" s="19"/>
    </row>
    <row r="915" ht="15.75" customHeight="1">
      <c r="A915" s="19"/>
      <c r="B915" s="19"/>
      <c r="C915" s="19"/>
      <c r="D915" s="19"/>
      <c r="E915" s="19"/>
      <c r="F915" s="19"/>
    </row>
    <row r="916" ht="15.75" customHeight="1">
      <c r="A916" s="19"/>
      <c r="B916" s="19"/>
      <c r="C916" s="19"/>
      <c r="D916" s="19"/>
      <c r="E916" s="19"/>
      <c r="F916" s="19"/>
    </row>
    <row r="917" ht="15.75" customHeight="1">
      <c r="A917" s="19"/>
      <c r="B917" s="19"/>
      <c r="C917" s="19"/>
      <c r="D917" s="19"/>
      <c r="E917" s="19"/>
      <c r="F917" s="19"/>
    </row>
    <row r="918" ht="15.75" customHeight="1">
      <c r="A918" s="19"/>
      <c r="B918" s="19"/>
      <c r="C918" s="19"/>
      <c r="D918" s="19"/>
      <c r="E918" s="19"/>
      <c r="F918" s="19"/>
    </row>
    <row r="919" ht="15.75" customHeight="1">
      <c r="A919" s="19"/>
      <c r="B919" s="19"/>
      <c r="C919" s="19"/>
      <c r="D919" s="19"/>
      <c r="E919" s="19"/>
      <c r="F919" s="19"/>
    </row>
    <row r="920" ht="15.75" customHeight="1">
      <c r="A920" s="19"/>
      <c r="B920" s="19"/>
      <c r="C920" s="19"/>
      <c r="D920" s="19"/>
      <c r="E920" s="19"/>
      <c r="F920" s="19"/>
    </row>
    <row r="921" ht="15.75" customHeight="1">
      <c r="A921" s="19"/>
      <c r="B921" s="19"/>
      <c r="C921" s="19"/>
      <c r="D921" s="19"/>
      <c r="E921" s="19"/>
      <c r="F921" s="19"/>
    </row>
    <row r="922" ht="15.75" customHeight="1">
      <c r="A922" s="19"/>
      <c r="B922" s="19"/>
      <c r="C922" s="19"/>
      <c r="D922" s="19"/>
      <c r="E922" s="19"/>
      <c r="F922" s="19"/>
    </row>
    <row r="923" ht="15.75" customHeight="1">
      <c r="A923" s="19"/>
      <c r="B923" s="19"/>
      <c r="C923" s="19"/>
      <c r="D923" s="19"/>
      <c r="E923" s="19"/>
      <c r="F923" s="19"/>
    </row>
    <row r="924" ht="15.75" customHeight="1">
      <c r="A924" s="19"/>
      <c r="B924" s="19"/>
      <c r="C924" s="19"/>
      <c r="D924" s="19"/>
      <c r="E924" s="19"/>
      <c r="F924" s="19"/>
    </row>
    <row r="925" ht="15.75" customHeight="1">
      <c r="A925" s="19"/>
      <c r="B925" s="19"/>
      <c r="C925" s="19"/>
      <c r="D925" s="19"/>
      <c r="E925" s="19"/>
      <c r="F925" s="19"/>
    </row>
    <row r="926" ht="15.75" customHeight="1">
      <c r="A926" s="19"/>
      <c r="B926" s="19"/>
      <c r="C926" s="19"/>
      <c r="D926" s="19"/>
      <c r="E926" s="19"/>
      <c r="F926" s="19"/>
    </row>
    <row r="927" ht="15.75" customHeight="1">
      <c r="A927" s="19"/>
      <c r="B927" s="19"/>
      <c r="C927" s="19"/>
      <c r="D927" s="19"/>
      <c r="E927" s="19"/>
      <c r="F927" s="19"/>
    </row>
    <row r="928" ht="15.75" customHeight="1">
      <c r="A928" s="19"/>
      <c r="B928" s="19"/>
      <c r="C928" s="19"/>
      <c r="D928" s="19"/>
      <c r="E928" s="19"/>
      <c r="F928" s="19"/>
    </row>
    <row r="929" ht="15.75" customHeight="1">
      <c r="A929" s="19"/>
      <c r="B929" s="19"/>
      <c r="C929" s="19"/>
      <c r="D929" s="19"/>
      <c r="E929" s="19"/>
      <c r="F929" s="19"/>
    </row>
    <row r="930" ht="15.75" customHeight="1">
      <c r="A930" s="19"/>
      <c r="B930" s="19"/>
      <c r="C930" s="19"/>
      <c r="D930" s="19"/>
      <c r="E930" s="19"/>
      <c r="F930" s="19"/>
    </row>
    <row r="931" ht="15.75" customHeight="1">
      <c r="A931" s="19"/>
      <c r="B931" s="19"/>
      <c r="C931" s="19"/>
      <c r="D931" s="19"/>
      <c r="E931" s="19"/>
      <c r="F931" s="19"/>
    </row>
    <row r="932" ht="15.75" customHeight="1">
      <c r="A932" s="19"/>
      <c r="B932" s="19"/>
      <c r="C932" s="19"/>
      <c r="D932" s="19"/>
      <c r="E932" s="19"/>
      <c r="F932" s="19"/>
    </row>
    <row r="933" ht="15.75" customHeight="1">
      <c r="A933" s="19"/>
      <c r="B933" s="19"/>
      <c r="C933" s="19"/>
      <c r="D933" s="19"/>
      <c r="E933" s="19"/>
      <c r="F933" s="19"/>
    </row>
    <row r="934" ht="15.75" customHeight="1">
      <c r="A934" s="19"/>
      <c r="B934" s="19"/>
      <c r="C934" s="19"/>
      <c r="D934" s="19"/>
      <c r="E934" s="19"/>
      <c r="F934" s="19"/>
    </row>
    <row r="935" ht="15.75" customHeight="1">
      <c r="A935" s="19"/>
      <c r="B935" s="19"/>
      <c r="C935" s="19"/>
      <c r="D935" s="19"/>
      <c r="E935" s="19"/>
      <c r="F935" s="19"/>
    </row>
    <row r="936" ht="15.75" customHeight="1">
      <c r="A936" s="19"/>
      <c r="B936" s="19"/>
      <c r="C936" s="19"/>
      <c r="D936" s="19"/>
      <c r="E936" s="19"/>
      <c r="F936" s="19"/>
    </row>
    <row r="937" ht="15.75" customHeight="1">
      <c r="A937" s="19"/>
      <c r="B937" s="19"/>
      <c r="C937" s="19"/>
      <c r="D937" s="19"/>
      <c r="E937" s="19"/>
      <c r="F937" s="19"/>
    </row>
    <row r="938" ht="15.75" customHeight="1">
      <c r="A938" s="19"/>
      <c r="B938" s="19"/>
      <c r="C938" s="19"/>
      <c r="D938" s="19"/>
      <c r="E938" s="19"/>
      <c r="F938" s="19"/>
    </row>
    <row r="939" ht="15.75" customHeight="1">
      <c r="A939" s="19"/>
      <c r="B939" s="19"/>
      <c r="C939" s="19"/>
      <c r="D939" s="19"/>
      <c r="E939" s="19"/>
      <c r="F939" s="19"/>
    </row>
    <row r="940" ht="15.75" customHeight="1">
      <c r="A940" s="19"/>
      <c r="B940" s="19"/>
      <c r="C940" s="19"/>
      <c r="D940" s="19"/>
      <c r="E940" s="19"/>
      <c r="F940" s="19"/>
    </row>
    <row r="941" ht="15.75" customHeight="1">
      <c r="A941" s="19"/>
      <c r="B941" s="19"/>
      <c r="C941" s="19"/>
      <c r="D941" s="19"/>
      <c r="E941" s="19"/>
      <c r="F941" s="19"/>
    </row>
    <row r="942" ht="15.75" customHeight="1">
      <c r="A942" s="19"/>
      <c r="B942" s="19"/>
      <c r="C942" s="19"/>
      <c r="D942" s="19"/>
      <c r="E942" s="19"/>
      <c r="F942" s="19"/>
    </row>
    <row r="943" ht="15.75" customHeight="1">
      <c r="A943" s="19"/>
      <c r="B943" s="19"/>
      <c r="C943" s="19"/>
      <c r="D943" s="19"/>
      <c r="E943" s="19"/>
      <c r="F943" s="19"/>
    </row>
    <row r="944" ht="15.75" customHeight="1">
      <c r="A944" s="19"/>
      <c r="B944" s="19"/>
      <c r="C944" s="19"/>
      <c r="D944" s="19"/>
      <c r="E944" s="19"/>
      <c r="F944" s="19"/>
    </row>
    <row r="945" ht="15.75" customHeight="1">
      <c r="A945" s="19"/>
      <c r="B945" s="19"/>
      <c r="C945" s="19"/>
      <c r="D945" s="19"/>
      <c r="E945" s="19"/>
      <c r="F945" s="19"/>
    </row>
    <row r="946" ht="15.75" customHeight="1">
      <c r="A946" s="19"/>
      <c r="B946" s="19"/>
      <c r="C946" s="19"/>
      <c r="D946" s="19"/>
      <c r="E946" s="19"/>
      <c r="F946" s="19"/>
    </row>
    <row r="947" ht="15.75" customHeight="1">
      <c r="A947" s="19"/>
      <c r="B947" s="19"/>
      <c r="C947" s="19"/>
      <c r="D947" s="19"/>
      <c r="E947" s="19"/>
      <c r="F947" s="19"/>
    </row>
    <row r="948" ht="15.75" customHeight="1">
      <c r="A948" s="19"/>
      <c r="B948" s="19"/>
      <c r="C948" s="19"/>
      <c r="D948" s="19"/>
      <c r="E948" s="19"/>
      <c r="F948" s="19"/>
    </row>
    <row r="949" ht="15.75" customHeight="1">
      <c r="A949" s="19"/>
      <c r="B949" s="19"/>
      <c r="C949" s="19"/>
      <c r="D949" s="19"/>
      <c r="E949" s="19"/>
      <c r="F949" s="19"/>
    </row>
    <row r="950" ht="15.75" customHeight="1">
      <c r="A950" s="19"/>
      <c r="B950" s="19"/>
      <c r="C950" s="19"/>
      <c r="D950" s="19"/>
      <c r="E950" s="19"/>
      <c r="F950" s="19"/>
    </row>
    <row r="951" ht="15.75" customHeight="1">
      <c r="A951" s="19"/>
      <c r="B951" s="19"/>
      <c r="C951" s="19"/>
      <c r="D951" s="19"/>
      <c r="E951" s="19"/>
      <c r="F951" s="19"/>
    </row>
    <row r="952" ht="15.75" customHeight="1">
      <c r="A952" s="19"/>
      <c r="B952" s="19"/>
      <c r="C952" s="19"/>
      <c r="D952" s="19"/>
      <c r="E952" s="19"/>
      <c r="F952" s="19"/>
    </row>
    <row r="953" ht="15.75" customHeight="1">
      <c r="A953" s="19"/>
      <c r="B953" s="19"/>
      <c r="C953" s="19"/>
      <c r="D953" s="19"/>
      <c r="E953" s="19"/>
      <c r="F953" s="19"/>
    </row>
    <row r="954" ht="15.75" customHeight="1">
      <c r="A954" s="19"/>
      <c r="B954" s="19"/>
      <c r="C954" s="19"/>
      <c r="D954" s="19"/>
      <c r="E954" s="19"/>
      <c r="F954" s="19"/>
    </row>
    <row r="955" ht="15.75" customHeight="1">
      <c r="A955" s="19"/>
      <c r="B955" s="19"/>
      <c r="C955" s="19"/>
      <c r="D955" s="19"/>
      <c r="E955" s="19"/>
      <c r="F955" s="19"/>
    </row>
    <row r="956" ht="15.75" customHeight="1">
      <c r="A956" s="19"/>
      <c r="B956" s="19"/>
      <c r="C956" s="19"/>
      <c r="D956" s="19"/>
      <c r="E956" s="19"/>
      <c r="F956" s="19"/>
    </row>
    <row r="957" ht="15.75" customHeight="1">
      <c r="A957" s="19"/>
      <c r="B957" s="19"/>
      <c r="C957" s="19"/>
      <c r="D957" s="19"/>
      <c r="E957" s="19"/>
      <c r="F957" s="19"/>
    </row>
    <row r="958" ht="15.75" customHeight="1">
      <c r="A958" s="19"/>
      <c r="B958" s="19"/>
      <c r="C958" s="19"/>
      <c r="D958" s="19"/>
      <c r="E958" s="19"/>
      <c r="F958" s="19"/>
    </row>
    <row r="959" ht="15.75" customHeight="1">
      <c r="A959" s="19"/>
      <c r="B959" s="19"/>
      <c r="C959" s="19"/>
      <c r="D959" s="19"/>
      <c r="E959" s="19"/>
      <c r="F959" s="19"/>
    </row>
    <row r="960" ht="15.75" customHeight="1">
      <c r="A960" s="19"/>
      <c r="B960" s="19"/>
      <c r="C960" s="19"/>
      <c r="D960" s="19"/>
      <c r="E960" s="19"/>
      <c r="F960" s="19"/>
    </row>
    <row r="961" ht="15.75" customHeight="1">
      <c r="A961" s="19"/>
      <c r="B961" s="19"/>
      <c r="C961" s="19"/>
      <c r="D961" s="19"/>
      <c r="E961" s="19"/>
      <c r="F961" s="19"/>
    </row>
    <row r="962" ht="15.75" customHeight="1">
      <c r="A962" s="19"/>
      <c r="B962" s="19"/>
      <c r="C962" s="19"/>
      <c r="D962" s="19"/>
      <c r="E962" s="19"/>
      <c r="F962" s="19"/>
    </row>
    <row r="963" ht="15.75" customHeight="1">
      <c r="A963" s="19"/>
      <c r="B963" s="19"/>
      <c r="C963" s="19"/>
      <c r="D963" s="19"/>
      <c r="E963" s="19"/>
      <c r="F963" s="19"/>
    </row>
    <row r="964" ht="15.75" customHeight="1">
      <c r="A964" s="19"/>
      <c r="B964" s="19"/>
      <c r="C964" s="19"/>
      <c r="D964" s="19"/>
      <c r="E964" s="19"/>
      <c r="F964" s="19"/>
    </row>
    <row r="965" ht="15.75" customHeight="1">
      <c r="A965" s="19"/>
      <c r="B965" s="19"/>
      <c r="C965" s="19"/>
      <c r="D965" s="19"/>
      <c r="E965" s="19"/>
      <c r="F965" s="19"/>
    </row>
    <row r="966" ht="15.75" customHeight="1">
      <c r="A966" s="19"/>
      <c r="B966" s="19"/>
      <c r="C966" s="19"/>
      <c r="D966" s="19"/>
      <c r="E966" s="19"/>
      <c r="F966" s="19"/>
    </row>
    <row r="967" ht="15.75" customHeight="1">
      <c r="A967" s="19"/>
      <c r="B967" s="19"/>
      <c r="C967" s="19"/>
      <c r="D967" s="19"/>
      <c r="E967" s="19"/>
      <c r="F967" s="19"/>
    </row>
    <row r="968" ht="15.75" customHeight="1">
      <c r="A968" s="19"/>
      <c r="B968" s="19"/>
      <c r="C968" s="19"/>
      <c r="D968" s="19"/>
      <c r="E968" s="19"/>
      <c r="F968" s="19"/>
    </row>
    <row r="969" ht="15.75" customHeight="1">
      <c r="A969" s="19"/>
      <c r="B969" s="19"/>
      <c r="C969" s="19"/>
      <c r="D969" s="19"/>
      <c r="E969" s="19"/>
      <c r="F969" s="19"/>
    </row>
    <row r="970" ht="15.75" customHeight="1">
      <c r="A970" s="19"/>
      <c r="B970" s="19"/>
      <c r="C970" s="19"/>
      <c r="D970" s="19"/>
      <c r="E970" s="19"/>
      <c r="F970" s="19"/>
    </row>
    <row r="971" ht="15.75" customHeight="1">
      <c r="A971" s="19"/>
      <c r="B971" s="19"/>
      <c r="C971" s="19"/>
      <c r="D971" s="19"/>
      <c r="E971" s="19"/>
      <c r="F971" s="19"/>
    </row>
    <row r="972" ht="15.75" customHeight="1">
      <c r="A972" s="19"/>
      <c r="B972" s="19"/>
      <c r="C972" s="19"/>
      <c r="D972" s="19"/>
      <c r="E972" s="19"/>
      <c r="F972" s="19"/>
    </row>
    <row r="973" ht="15.75" customHeight="1">
      <c r="A973" s="19"/>
      <c r="B973" s="19"/>
      <c r="C973" s="19"/>
      <c r="D973" s="19"/>
      <c r="E973" s="19"/>
      <c r="F973" s="19"/>
    </row>
    <row r="974" ht="15.75" customHeight="1">
      <c r="A974" s="19"/>
      <c r="B974" s="19"/>
      <c r="C974" s="19"/>
      <c r="D974" s="19"/>
      <c r="E974" s="19"/>
      <c r="F974" s="19"/>
    </row>
    <row r="975" ht="15.75" customHeight="1">
      <c r="A975" s="19"/>
      <c r="B975" s="19"/>
      <c r="C975" s="19"/>
      <c r="D975" s="19"/>
      <c r="E975" s="19"/>
      <c r="F975" s="19"/>
    </row>
    <row r="976" ht="15.75" customHeight="1">
      <c r="A976" s="19"/>
      <c r="B976" s="19"/>
      <c r="C976" s="19"/>
      <c r="D976" s="19"/>
      <c r="E976" s="19"/>
      <c r="F976" s="19"/>
    </row>
    <row r="977" ht="15.75" customHeight="1">
      <c r="A977" s="19"/>
      <c r="B977" s="19"/>
      <c r="C977" s="19"/>
      <c r="D977" s="19"/>
      <c r="E977" s="19"/>
      <c r="F977" s="19"/>
    </row>
    <row r="978" ht="15.75" customHeight="1">
      <c r="A978" s="19"/>
      <c r="B978" s="19"/>
      <c r="C978" s="19"/>
      <c r="D978" s="19"/>
      <c r="E978" s="19"/>
      <c r="F978" s="19"/>
    </row>
    <row r="979" ht="15.75" customHeight="1">
      <c r="A979" s="19"/>
      <c r="B979" s="19"/>
      <c r="C979" s="19"/>
      <c r="D979" s="19"/>
      <c r="E979" s="19"/>
      <c r="F979" s="19"/>
    </row>
    <row r="980" ht="15.75" customHeight="1">
      <c r="A980" s="19"/>
      <c r="B980" s="19"/>
      <c r="C980" s="19"/>
      <c r="D980" s="19"/>
      <c r="E980" s="19"/>
      <c r="F980" s="19"/>
    </row>
    <row r="981" ht="15.75" customHeight="1">
      <c r="A981" s="19"/>
      <c r="B981" s="19"/>
      <c r="C981" s="19"/>
      <c r="D981" s="19"/>
      <c r="E981" s="19"/>
      <c r="F981" s="19"/>
    </row>
    <row r="982" ht="15.75" customHeight="1">
      <c r="A982" s="19"/>
      <c r="B982" s="19"/>
      <c r="C982" s="19"/>
      <c r="D982" s="19"/>
      <c r="E982" s="19"/>
      <c r="F982" s="19"/>
    </row>
    <row r="983" ht="15.75" customHeight="1">
      <c r="A983" s="19"/>
      <c r="B983" s="19"/>
      <c r="C983" s="19"/>
      <c r="D983" s="19"/>
      <c r="E983" s="19"/>
      <c r="F983" s="19"/>
    </row>
    <row r="984" ht="15.75" customHeight="1">
      <c r="A984" s="19"/>
      <c r="B984" s="19"/>
      <c r="C984" s="19"/>
      <c r="D984" s="19"/>
      <c r="E984" s="19"/>
      <c r="F984" s="19"/>
    </row>
    <row r="985" ht="15.75" customHeight="1">
      <c r="A985" s="19"/>
      <c r="B985" s="19"/>
      <c r="C985" s="19"/>
      <c r="D985" s="19"/>
      <c r="E985" s="19"/>
      <c r="F985" s="19"/>
    </row>
    <row r="986" ht="15.75" customHeight="1">
      <c r="A986" s="19"/>
      <c r="B986" s="19"/>
      <c r="C986" s="19"/>
      <c r="D986" s="19"/>
      <c r="E986" s="19"/>
      <c r="F986" s="19"/>
    </row>
    <row r="987" ht="15.75" customHeight="1">
      <c r="A987" s="19"/>
      <c r="B987" s="19"/>
      <c r="C987" s="19"/>
      <c r="D987" s="19"/>
      <c r="E987" s="19"/>
      <c r="F987" s="19"/>
    </row>
    <row r="988" ht="15.75" customHeight="1">
      <c r="A988" s="19"/>
      <c r="B988" s="19"/>
      <c r="C988" s="19"/>
      <c r="D988" s="19"/>
      <c r="E988" s="19"/>
      <c r="F988" s="19"/>
    </row>
    <row r="989" ht="15.75" customHeight="1">
      <c r="A989" s="19"/>
      <c r="B989" s="19"/>
      <c r="C989" s="19"/>
      <c r="D989" s="19"/>
      <c r="E989" s="19"/>
      <c r="F989" s="19"/>
    </row>
    <row r="990" ht="15.75" customHeight="1">
      <c r="A990" s="19"/>
      <c r="B990" s="19"/>
      <c r="C990" s="19"/>
      <c r="D990" s="19"/>
      <c r="E990" s="19"/>
      <c r="F990" s="19"/>
    </row>
    <row r="991" ht="15.75" customHeight="1">
      <c r="A991" s="19"/>
      <c r="B991" s="19"/>
      <c r="C991" s="19"/>
      <c r="D991" s="19"/>
      <c r="E991" s="19"/>
      <c r="F991" s="19"/>
    </row>
    <row r="992" ht="15.75" customHeight="1">
      <c r="A992" s="19"/>
      <c r="B992" s="19"/>
      <c r="C992" s="19"/>
      <c r="D992" s="19"/>
      <c r="E992" s="19"/>
      <c r="F992" s="19"/>
    </row>
    <row r="993" ht="15.75" customHeight="1">
      <c r="A993" s="19"/>
      <c r="B993" s="19"/>
      <c r="C993" s="19"/>
      <c r="D993" s="19"/>
      <c r="E993" s="19"/>
      <c r="F993" s="19"/>
    </row>
    <row r="994" ht="15.75" customHeight="1">
      <c r="A994" s="19"/>
      <c r="B994" s="19"/>
      <c r="C994" s="19"/>
      <c r="D994" s="19"/>
      <c r="E994" s="19"/>
      <c r="F994" s="19"/>
    </row>
    <row r="995" ht="15.75" customHeight="1">
      <c r="A995" s="19"/>
      <c r="B995" s="19"/>
      <c r="C995" s="19"/>
      <c r="D995" s="19"/>
      <c r="E995" s="19"/>
      <c r="F995" s="19"/>
    </row>
    <row r="996" ht="15.75" customHeight="1">
      <c r="A996" s="19"/>
      <c r="B996" s="19"/>
      <c r="C996" s="19"/>
      <c r="D996" s="19"/>
      <c r="E996" s="19"/>
      <c r="F996" s="19"/>
    </row>
    <row r="997" ht="15.75" customHeight="1">
      <c r="A997" s="19"/>
      <c r="B997" s="19"/>
      <c r="C997" s="19"/>
      <c r="D997" s="19"/>
      <c r="E997" s="19"/>
      <c r="F997" s="19"/>
    </row>
    <row r="998" ht="15.75" customHeight="1">
      <c r="A998" s="19"/>
      <c r="B998" s="19"/>
      <c r="C998" s="19"/>
      <c r="D998" s="19"/>
      <c r="E998" s="19"/>
      <c r="F998" s="19"/>
    </row>
    <row r="999" ht="15.75" customHeight="1">
      <c r="A999" s="19"/>
      <c r="B999" s="19"/>
      <c r="C999" s="19"/>
      <c r="D999" s="19"/>
      <c r="E999" s="19"/>
      <c r="F999" s="19"/>
    </row>
    <row r="1000" ht="15.75" customHeight="1">
      <c r="A1000" s="19"/>
      <c r="B1000" s="19"/>
      <c r="C1000" s="19"/>
      <c r="D1000" s="19"/>
      <c r="E1000" s="19"/>
      <c r="F1000" s="19"/>
    </row>
  </sheetData>
  <mergeCells count="1">
    <mergeCell ref="A1:F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5.0"/>
    <col customWidth="1" min="3" max="3" width="10.0"/>
    <col customWidth="1" min="4" max="6" width="8.71"/>
  </cols>
  <sheetData>
    <row r="1" ht="17.25" customHeight="1">
      <c r="A1" s="20" t="s">
        <v>3106</v>
      </c>
      <c r="B1" s="21"/>
      <c r="C1" s="22"/>
      <c r="D1" s="19"/>
      <c r="E1" s="19"/>
      <c r="F1" s="19"/>
    </row>
    <row r="2">
      <c r="A2" s="19"/>
      <c r="B2" s="19"/>
      <c r="C2" s="19"/>
      <c r="D2" s="19"/>
      <c r="E2" s="19"/>
      <c r="F2" s="19"/>
    </row>
    <row r="3" ht="15.0" customHeight="1">
      <c r="A3" s="26" t="s">
        <v>3107</v>
      </c>
      <c r="B3" s="19" t="s">
        <v>3108</v>
      </c>
      <c r="C3" s="19"/>
      <c r="D3" s="19"/>
      <c r="E3" s="19"/>
      <c r="F3" s="19"/>
    </row>
    <row r="4" ht="15.0" customHeight="1">
      <c r="A4" s="19" t="s">
        <v>3109</v>
      </c>
      <c r="B4" s="19">
        <v>302.0</v>
      </c>
      <c r="C4" s="19"/>
      <c r="D4" s="19"/>
      <c r="E4" s="19"/>
      <c r="F4" s="19"/>
    </row>
    <row r="5">
      <c r="A5" s="19"/>
      <c r="B5" s="19"/>
      <c r="C5" s="19"/>
      <c r="D5" s="19"/>
      <c r="E5" s="19"/>
      <c r="F5" s="19"/>
    </row>
    <row r="6" ht="15.0" customHeight="1">
      <c r="A6" s="27" t="s">
        <v>3110</v>
      </c>
      <c r="B6" s="19"/>
      <c r="C6" s="19"/>
      <c r="D6" s="19"/>
      <c r="E6" s="19"/>
      <c r="F6" s="19"/>
    </row>
    <row r="7" ht="15.0" customHeight="1">
      <c r="A7" s="19" t="s">
        <v>33</v>
      </c>
      <c r="B7" s="19">
        <f>COUNTIF(Extraction_Log!H:H,"T1_UK_Specific")</f>
        <v>196</v>
      </c>
      <c r="C7" s="19"/>
      <c r="D7" s="19"/>
      <c r="E7" s="19"/>
      <c r="F7" s="19"/>
    </row>
    <row r="8" ht="15.0" customHeight="1">
      <c r="A8" s="19" t="s">
        <v>1865</v>
      </c>
      <c r="B8" s="19">
        <f>COUNTIF(Extraction_Log!H:H,"T2_UK_Applicable")</f>
        <v>12</v>
      </c>
      <c r="C8" s="19"/>
      <c r="D8" s="19"/>
      <c r="E8" s="19"/>
      <c r="F8" s="19"/>
    </row>
    <row r="9" ht="15.0" customHeight="1">
      <c r="A9" s="19" t="s">
        <v>1132</v>
      </c>
      <c r="B9" s="19">
        <f>COUNTIF(Extraction_Log!H:H,"T3_Transferable")</f>
        <v>80</v>
      </c>
      <c r="C9" s="19"/>
      <c r="D9" s="19"/>
      <c r="E9" s="19"/>
      <c r="F9" s="19"/>
    </row>
    <row r="10" ht="15.0" customHeight="1">
      <c r="A10" s="19" t="s">
        <v>2508</v>
      </c>
      <c r="B10" s="19">
        <f>COUNTIF(Extraction_Log!H:H,"T4_Conceptual")</f>
        <v>3</v>
      </c>
      <c r="C10" s="19"/>
      <c r="D10" s="19"/>
      <c r="E10" s="19"/>
      <c r="F10" s="19"/>
    </row>
    <row r="11">
      <c r="A11" s="19"/>
      <c r="B11" s="19"/>
      <c r="C11" s="19"/>
      <c r="D11" s="19"/>
      <c r="E11" s="19"/>
      <c r="F11" s="19"/>
    </row>
    <row r="12" ht="15.0" customHeight="1">
      <c r="A12" s="27" t="s">
        <v>3111</v>
      </c>
      <c r="B12" s="19"/>
      <c r="C12" s="19"/>
      <c r="D12" s="19"/>
      <c r="E12" s="19"/>
      <c r="F12" s="19"/>
    </row>
    <row r="13" ht="15.0" customHeight="1">
      <c r="A13" s="19" t="s">
        <v>3112</v>
      </c>
      <c r="B13" s="19">
        <f>COUNTIF(Extraction_Log!R:R,"TH_01")</f>
        <v>88</v>
      </c>
      <c r="C13" s="19"/>
      <c r="D13" s="19"/>
      <c r="E13" s="19"/>
      <c r="F13" s="19"/>
    </row>
    <row r="14" ht="15.0" customHeight="1">
      <c r="A14" s="19" t="s">
        <v>3113</v>
      </c>
      <c r="B14" s="19">
        <f>COUNTIF(Extraction_Log!R:R,"TH_02")</f>
        <v>56</v>
      </c>
      <c r="C14" s="19"/>
      <c r="D14" s="19"/>
      <c r="E14" s="19"/>
      <c r="F14" s="19"/>
    </row>
    <row r="15" ht="15.0" customHeight="1">
      <c r="A15" s="19" t="s">
        <v>3114</v>
      </c>
      <c r="B15" s="19">
        <f>COUNTIF(Extraction_Log!R:R,"TH_03")</f>
        <v>49</v>
      </c>
      <c r="C15" s="19"/>
      <c r="D15" s="19"/>
      <c r="E15" s="19"/>
      <c r="F15" s="19"/>
    </row>
    <row r="16" ht="15.0" customHeight="1">
      <c r="A16" s="19" t="s">
        <v>3115</v>
      </c>
      <c r="B16" s="19">
        <f>COUNTIF(Extraction_Log!R:R,"TH_04")</f>
        <v>51</v>
      </c>
      <c r="C16" s="19"/>
      <c r="D16" s="19"/>
      <c r="E16" s="19"/>
      <c r="F16" s="19"/>
    </row>
    <row r="17" ht="15.0" customHeight="1">
      <c r="A17" s="19" t="s">
        <v>3116</v>
      </c>
      <c r="B17" s="19">
        <f>COUNTIF(Extraction_Log!R:R,"TH_05")</f>
        <v>28</v>
      </c>
      <c r="C17" s="19"/>
      <c r="D17" s="19"/>
      <c r="E17" s="19"/>
      <c r="F17" s="19"/>
    </row>
    <row r="18" ht="15.0" customHeight="1">
      <c r="A18" s="19" t="s">
        <v>3117</v>
      </c>
      <c r="B18" s="19">
        <f>COUNTIF(Extraction_Log!R:R,"TH_06")</f>
        <v>31</v>
      </c>
      <c r="C18" s="19"/>
      <c r="D18" s="19"/>
      <c r="E18" s="19"/>
      <c r="F18" s="19"/>
    </row>
    <row r="19">
      <c r="A19" s="19"/>
      <c r="B19" s="19"/>
      <c r="C19" s="19"/>
      <c r="D19" s="19"/>
      <c r="E19" s="19"/>
      <c r="F19" s="19"/>
    </row>
    <row r="20" ht="15.0" customHeight="1">
      <c r="A20" s="27" t="s">
        <v>3118</v>
      </c>
      <c r="B20" s="19"/>
      <c r="C20" s="19"/>
      <c r="D20" s="19"/>
      <c r="E20" s="19"/>
      <c r="F20" s="19"/>
    </row>
    <row r="21" ht="15.0" customHeight="1">
      <c r="A21" s="19" t="s">
        <v>47</v>
      </c>
      <c r="B21" s="19">
        <f>COUNTIF(Extraction_Log!W:W,"High")</f>
        <v>259</v>
      </c>
      <c r="C21" s="19"/>
      <c r="D21" s="19"/>
      <c r="E21" s="19"/>
      <c r="F21" s="19"/>
    </row>
    <row r="22" ht="15.0" customHeight="1">
      <c r="A22" s="19" t="s">
        <v>1079</v>
      </c>
      <c r="B22" s="19">
        <f>COUNTIF(Extraction_Log!W:W,"Medium")</f>
        <v>43</v>
      </c>
      <c r="C22" s="19"/>
      <c r="D22" s="19"/>
      <c r="E22" s="19"/>
      <c r="F22" s="19"/>
    </row>
    <row r="23" ht="15.0" customHeight="1">
      <c r="A23" s="19" t="s">
        <v>2530</v>
      </c>
      <c r="B23" s="19">
        <f>COUNTIF(Extraction_Log!W:W,"Low")</f>
        <v>1</v>
      </c>
      <c r="C23" s="19"/>
      <c r="D23" s="19"/>
      <c r="E23" s="19"/>
      <c r="F23" s="19"/>
    </row>
    <row r="24" ht="15.75" customHeight="1">
      <c r="A24" s="19"/>
      <c r="B24" s="19"/>
      <c r="C24" s="19"/>
      <c r="D24" s="19"/>
      <c r="E24" s="19"/>
      <c r="F24" s="19"/>
    </row>
    <row r="25" ht="15.0" customHeight="1">
      <c r="A25" s="27" t="s">
        <v>3119</v>
      </c>
      <c r="B25" s="19"/>
      <c r="C25" s="19"/>
      <c r="D25" s="19"/>
      <c r="E25" s="19"/>
      <c r="F25" s="19"/>
    </row>
    <row r="26" ht="15.0" customHeight="1">
      <c r="A26" s="19" t="s">
        <v>44</v>
      </c>
      <c r="B26" s="19">
        <f>COUNTIF(Extraction_Log!T:T,"TOE_Tech")</f>
        <v>44</v>
      </c>
      <c r="C26" s="19"/>
      <c r="D26" s="19"/>
      <c r="E26" s="19"/>
      <c r="F26" s="19"/>
    </row>
    <row r="27" ht="15.0" customHeight="1">
      <c r="A27" s="19" t="s">
        <v>104</v>
      </c>
      <c r="B27" s="19">
        <f>COUNTIF(Extraction_Log!T:T,"TOE_Org")</f>
        <v>36</v>
      </c>
      <c r="C27" s="19"/>
      <c r="D27" s="19"/>
      <c r="E27" s="19"/>
      <c r="F27" s="19"/>
    </row>
    <row r="28" ht="15.0" customHeight="1">
      <c r="A28" s="19" t="s">
        <v>198</v>
      </c>
      <c r="B28" s="19">
        <f>COUNTIF(Extraction_Log!T:T,"TOE_Env")</f>
        <v>56</v>
      </c>
      <c r="C28" s="19"/>
      <c r="D28" s="19"/>
      <c r="E28" s="19"/>
      <c r="F28" s="19"/>
    </row>
    <row r="29" ht="15.0" customHeight="1">
      <c r="A29" s="19" t="s">
        <v>160</v>
      </c>
      <c r="B29" s="19">
        <f>COUNTIF(Extraction_Log!T:T,"SCOR_Plan")</f>
        <v>17</v>
      </c>
      <c r="C29" s="19"/>
      <c r="D29" s="19"/>
      <c r="E29" s="19"/>
      <c r="F29" s="19"/>
    </row>
    <row r="30" ht="15.0" customHeight="1">
      <c r="A30" s="19" t="s">
        <v>90</v>
      </c>
      <c r="B30" s="19">
        <f>COUNTIF(Extraction_Log!T:T,"SCOR_Source")</f>
        <v>23</v>
      </c>
      <c r="C30" s="19"/>
      <c r="D30" s="19"/>
      <c r="E30" s="19"/>
      <c r="F30" s="19"/>
    </row>
    <row r="31" ht="15.0" customHeight="1">
      <c r="A31" s="19" t="s">
        <v>68</v>
      </c>
      <c r="B31" s="19">
        <f>COUNTIF(Extraction_Log!T:T,"SCOR_Make")</f>
        <v>8</v>
      </c>
      <c r="C31" s="19"/>
      <c r="D31" s="19"/>
      <c r="E31" s="19"/>
      <c r="F31" s="19"/>
    </row>
    <row r="32" ht="15.0" customHeight="1">
      <c r="A32" s="19" t="s">
        <v>188</v>
      </c>
      <c r="B32" s="19">
        <f>COUNTIF(Extraction_Log!T:T,"SCOR_Deliver")</f>
        <v>13</v>
      </c>
      <c r="C32" s="19"/>
      <c r="D32" s="19"/>
      <c r="E32" s="19"/>
      <c r="F32" s="19"/>
    </row>
    <row r="33" ht="15.0" customHeight="1">
      <c r="A33" s="19" t="s">
        <v>128</v>
      </c>
      <c r="B33" s="19">
        <f>COUNTIF(Extraction_Log!T:T,"SCOR_Return")</f>
        <v>25</v>
      </c>
      <c r="C33" s="19"/>
      <c r="D33" s="19"/>
      <c r="E33" s="19"/>
      <c r="F33" s="19"/>
    </row>
    <row r="34" ht="15.0" customHeight="1">
      <c r="A34" s="19" t="s">
        <v>275</v>
      </c>
      <c r="B34" s="19">
        <f>COUNTIF(Extraction_Log!T:T,"5Vs_Volume")</f>
        <v>8</v>
      </c>
      <c r="C34" s="19"/>
      <c r="D34" s="19"/>
      <c r="E34" s="19"/>
      <c r="F34" s="19"/>
    </row>
    <row r="35" ht="15.0" customHeight="1">
      <c r="A35" s="19" t="s">
        <v>139</v>
      </c>
      <c r="B35" s="19">
        <f>COUNTIF(Extraction_Log!T:T,"5Vs_Velocity")</f>
        <v>12</v>
      </c>
      <c r="C35" s="19"/>
      <c r="D35" s="19"/>
      <c r="E35" s="19"/>
      <c r="F35" s="19"/>
    </row>
    <row r="36" ht="15.0" customHeight="1">
      <c r="A36" s="19" t="s">
        <v>504</v>
      </c>
      <c r="B36" s="19">
        <f>COUNTIF(Extraction_Log!T:T,"5Vs_Variety")</f>
        <v>8</v>
      </c>
      <c r="C36" s="19"/>
      <c r="D36" s="19"/>
      <c r="E36" s="19"/>
      <c r="F36" s="19"/>
    </row>
    <row r="37" ht="15.0" customHeight="1">
      <c r="A37" s="19" t="s">
        <v>178</v>
      </c>
      <c r="B37" s="19">
        <f>COUNTIF(Extraction_Log!T:T,"5Vs_Veracity")</f>
        <v>18</v>
      </c>
      <c r="C37" s="19"/>
      <c r="D37" s="19"/>
      <c r="E37" s="19"/>
      <c r="F37" s="19"/>
    </row>
    <row r="38" ht="15.0" customHeight="1">
      <c r="A38" s="19" t="s">
        <v>58</v>
      </c>
      <c r="B38" s="19">
        <f>COUNTIF(Extraction_Log!T:T,"5Vs_Value")</f>
        <v>35</v>
      </c>
      <c r="C38" s="19"/>
      <c r="D38" s="19"/>
      <c r="E38" s="19"/>
      <c r="F38" s="19"/>
    </row>
    <row r="39" ht="15.0" customHeight="1">
      <c r="A39" s="19" t="s">
        <v>2288</v>
      </c>
      <c r="B39" s="19">
        <f>COUNTIF(Extraction_Log!T:T,"Multiple")</f>
        <v>0</v>
      </c>
      <c r="C39" s="19"/>
      <c r="D39" s="19"/>
      <c r="E39" s="19"/>
      <c r="F39" s="19"/>
    </row>
    <row r="40" ht="15.75" customHeight="1">
      <c r="A40" s="19"/>
      <c r="B40" s="19"/>
      <c r="C40" s="19"/>
      <c r="D40" s="19"/>
      <c r="E40" s="19"/>
      <c r="F40" s="19"/>
    </row>
    <row r="41" ht="15.0" customHeight="1">
      <c r="A41" s="27" t="s">
        <v>3120</v>
      </c>
      <c r="B41" s="19"/>
      <c r="C41" s="19"/>
      <c r="D41" s="19"/>
      <c r="E41" s="19"/>
      <c r="F41" s="19"/>
    </row>
    <row r="42" ht="15.0" customHeight="1">
      <c r="A42" s="19" t="s">
        <v>45</v>
      </c>
      <c r="B42" s="19">
        <f>COUNTIF(Extraction_Log!U:U,"Verified")</f>
        <v>302</v>
      </c>
      <c r="C42" s="19"/>
      <c r="D42" s="19"/>
      <c r="E42" s="19"/>
      <c r="F42" s="19"/>
    </row>
    <row r="43" ht="15.0" customHeight="1">
      <c r="A43" s="19" t="s">
        <v>3121</v>
      </c>
      <c r="B43" s="19">
        <f>COUNTIF(Extraction_Log!U:U,"Pending")</f>
        <v>0</v>
      </c>
      <c r="C43" s="19"/>
      <c r="D43" s="19"/>
      <c r="E43" s="19"/>
      <c r="F43" s="19"/>
    </row>
    <row r="44" ht="15.0" customHeight="1">
      <c r="A44" s="19" t="s">
        <v>140</v>
      </c>
      <c r="B44" s="19">
        <f>COUNTIF(Extraction_Log!U:U,"Cross_Check_Required")</f>
        <v>1</v>
      </c>
      <c r="C44" s="19"/>
      <c r="D44" s="19"/>
      <c r="E44" s="19"/>
      <c r="F44" s="19"/>
    </row>
    <row r="45" ht="15.0" customHeight="1">
      <c r="A45" s="19" t="s">
        <v>3122</v>
      </c>
      <c r="B45" s="19">
        <f>COUNTIF(Extraction_Log!U:U,"Contradicted")</f>
        <v>0</v>
      </c>
      <c r="C45" s="19"/>
      <c r="D45" s="19"/>
      <c r="E45" s="19"/>
      <c r="F45" s="19"/>
    </row>
    <row r="46" ht="15.75" customHeight="1">
      <c r="A46" s="19"/>
      <c r="B46" s="19"/>
      <c r="C46" s="19"/>
      <c r="D46" s="19"/>
      <c r="E46" s="19"/>
      <c r="F46" s="19"/>
    </row>
    <row r="47" ht="15.75" customHeight="1">
      <c r="A47" s="19"/>
      <c r="B47" s="19"/>
      <c r="C47" s="19"/>
      <c r="D47" s="19"/>
      <c r="E47" s="19"/>
      <c r="F47" s="19"/>
    </row>
    <row r="48" ht="15.75" customHeight="1">
      <c r="A48" s="19"/>
      <c r="B48" s="19"/>
      <c r="C48" s="19"/>
      <c r="D48" s="19"/>
      <c r="E48" s="19"/>
      <c r="F48" s="19"/>
    </row>
    <row r="49" ht="15.75" customHeight="1">
      <c r="A49" s="19"/>
      <c r="B49" s="19"/>
      <c r="C49" s="19"/>
      <c r="D49" s="19"/>
      <c r="E49" s="19"/>
      <c r="F49" s="19"/>
    </row>
    <row r="50" ht="15.75" customHeight="1">
      <c r="A50" s="19"/>
      <c r="B50" s="19"/>
      <c r="C50" s="19"/>
      <c r="D50" s="19"/>
      <c r="E50" s="19"/>
      <c r="F50" s="19"/>
    </row>
    <row r="51" ht="15.75" customHeight="1">
      <c r="A51" s="19"/>
      <c r="B51" s="19"/>
      <c r="C51" s="19"/>
      <c r="D51" s="19"/>
      <c r="E51" s="19"/>
      <c r="F51" s="19"/>
    </row>
    <row r="52" ht="15.75" customHeight="1">
      <c r="A52" s="19"/>
      <c r="B52" s="19"/>
      <c r="C52" s="19"/>
      <c r="D52" s="19"/>
      <c r="E52" s="19"/>
      <c r="F52" s="19"/>
    </row>
    <row r="53" ht="15.75" customHeight="1">
      <c r="A53" s="19"/>
      <c r="B53" s="19"/>
      <c r="C53" s="19"/>
      <c r="D53" s="19"/>
      <c r="E53" s="19"/>
      <c r="F53" s="19"/>
    </row>
    <row r="54" ht="15.75" customHeight="1">
      <c r="A54" s="19"/>
      <c r="B54" s="19"/>
      <c r="C54" s="19"/>
      <c r="D54" s="19"/>
      <c r="E54" s="19"/>
      <c r="F54" s="19"/>
    </row>
    <row r="55" ht="15.75" customHeight="1">
      <c r="A55" s="19"/>
      <c r="B55" s="19"/>
      <c r="C55" s="19"/>
      <c r="D55" s="19"/>
      <c r="E55" s="19"/>
      <c r="F55" s="19"/>
    </row>
    <row r="56" ht="15.75" customHeight="1">
      <c r="A56" s="19"/>
      <c r="B56" s="19"/>
      <c r="C56" s="19"/>
      <c r="D56" s="19"/>
      <c r="E56" s="19"/>
      <c r="F56" s="19"/>
    </row>
    <row r="57" ht="15.75" customHeight="1">
      <c r="A57" s="19"/>
      <c r="B57" s="19"/>
      <c r="C57" s="19"/>
      <c r="D57" s="19"/>
      <c r="E57" s="19"/>
      <c r="F57" s="19"/>
    </row>
    <row r="58" ht="15.75" customHeight="1">
      <c r="A58" s="19"/>
      <c r="B58" s="19"/>
      <c r="C58" s="19"/>
      <c r="D58" s="19"/>
      <c r="E58" s="19"/>
      <c r="F58" s="19"/>
    </row>
    <row r="59" ht="15.75" customHeight="1">
      <c r="A59" s="19"/>
      <c r="B59" s="19"/>
      <c r="C59" s="19"/>
      <c r="D59" s="19"/>
      <c r="E59" s="19"/>
      <c r="F59" s="19"/>
    </row>
    <row r="60" ht="15.75" customHeight="1">
      <c r="A60" s="19"/>
      <c r="B60" s="19"/>
      <c r="C60" s="19"/>
      <c r="D60" s="19"/>
      <c r="E60" s="19"/>
      <c r="F60" s="19"/>
    </row>
    <row r="61" ht="15.75" customHeight="1">
      <c r="A61" s="19"/>
      <c r="B61" s="19"/>
      <c r="C61" s="19"/>
      <c r="D61" s="19"/>
      <c r="E61" s="19"/>
      <c r="F61" s="19"/>
    </row>
    <row r="62" ht="15.75" customHeight="1">
      <c r="A62" s="19"/>
      <c r="B62" s="19"/>
      <c r="C62" s="19"/>
      <c r="D62" s="19"/>
      <c r="E62" s="19"/>
      <c r="F62" s="19"/>
    </row>
    <row r="63" ht="15.75" customHeight="1">
      <c r="A63" s="19"/>
      <c r="B63" s="19"/>
      <c r="C63" s="19"/>
      <c r="D63" s="19"/>
      <c r="E63" s="19"/>
      <c r="F63" s="19"/>
    </row>
    <row r="64" ht="15.75" customHeight="1">
      <c r="A64" s="19"/>
      <c r="B64" s="19"/>
      <c r="C64" s="19"/>
      <c r="D64" s="19"/>
      <c r="E64" s="19"/>
      <c r="F64" s="19"/>
    </row>
    <row r="65" ht="15.75" customHeight="1">
      <c r="A65" s="19"/>
      <c r="B65" s="19"/>
      <c r="C65" s="19"/>
      <c r="D65" s="19"/>
      <c r="E65" s="19"/>
      <c r="F65" s="19"/>
    </row>
    <row r="66" ht="15.75" customHeight="1">
      <c r="A66" s="19"/>
      <c r="B66" s="19"/>
      <c r="C66" s="19"/>
      <c r="D66" s="19"/>
      <c r="E66" s="19"/>
      <c r="F66" s="19"/>
    </row>
    <row r="67" ht="15.75" customHeight="1">
      <c r="A67" s="19"/>
      <c r="B67" s="19"/>
      <c r="C67" s="19"/>
      <c r="D67" s="19"/>
      <c r="E67" s="19"/>
      <c r="F67" s="19"/>
    </row>
    <row r="68" ht="15.75" customHeight="1">
      <c r="A68" s="19"/>
      <c r="B68" s="19"/>
      <c r="C68" s="19"/>
      <c r="D68" s="19"/>
      <c r="E68" s="19"/>
      <c r="F68" s="19"/>
    </row>
    <row r="69" ht="15.75" customHeight="1">
      <c r="A69" s="19"/>
      <c r="B69" s="19"/>
      <c r="C69" s="19"/>
      <c r="D69" s="19"/>
      <c r="E69" s="19"/>
      <c r="F69" s="19"/>
    </row>
    <row r="70" ht="15.75" customHeight="1">
      <c r="A70" s="19"/>
      <c r="B70" s="19"/>
      <c r="C70" s="19"/>
      <c r="D70" s="19"/>
      <c r="E70" s="19"/>
      <c r="F70" s="19"/>
    </row>
    <row r="71" ht="15.75" customHeight="1">
      <c r="A71" s="19"/>
      <c r="B71" s="19"/>
      <c r="C71" s="19"/>
      <c r="D71" s="19"/>
      <c r="E71" s="19"/>
      <c r="F71" s="19"/>
    </row>
    <row r="72" ht="15.75" customHeight="1">
      <c r="A72" s="19"/>
      <c r="B72" s="19"/>
      <c r="C72" s="19"/>
      <c r="D72" s="19"/>
      <c r="E72" s="19"/>
      <c r="F72" s="19"/>
    </row>
    <row r="73" ht="15.75" customHeight="1">
      <c r="A73" s="19"/>
      <c r="B73" s="19"/>
      <c r="C73" s="19"/>
      <c r="D73" s="19"/>
      <c r="E73" s="19"/>
      <c r="F73" s="19"/>
    </row>
    <row r="74" ht="15.75" customHeight="1">
      <c r="A74" s="19"/>
      <c r="B74" s="19"/>
      <c r="C74" s="19"/>
      <c r="D74" s="19"/>
      <c r="E74" s="19"/>
      <c r="F74" s="19"/>
    </row>
    <row r="75" ht="15.75" customHeight="1">
      <c r="A75" s="19"/>
      <c r="B75" s="19"/>
      <c r="C75" s="19"/>
      <c r="D75" s="19"/>
      <c r="E75" s="19"/>
      <c r="F75" s="19"/>
    </row>
    <row r="76" ht="15.75" customHeight="1">
      <c r="A76" s="19"/>
      <c r="B76" s="19"/>
      <c r="C76" s="19"/>
      <c r="D76" s="19"/>
      <c r="E76" s="19"/>
      <c r="F76" s="19"/>
    </row>
    <row r="77" ht="15.75" customHeight="1">
      <c r="A77" s="19"/>
      <c r="B77" s="19"/>
      <c r="C77" s="19"/>
      <c r="D77" s="19"/>
      <c r="E77" s="19"/>
      <c r="F77" s="19"/>
    </row>
    <row r="78" ht="15.75" customHeight="1">
      <c r="A78" s="19"/>
      <c r="B78" s="19"/>
      <c r="C78" s="19"/>
      <c r="D78" s="19"/>
      <c r="E78" s="19"/>
      <c r="F78" s="19"/>
    </row>
    <row r="79" ht="15.75" customHeight="1">
      <c r="A79" s="19"/>
      <c r="B79" s="19"/>
      <c r="C79" s="19"/>
      <c r="D79" s="19"/>
      <c r="E79" s="19"/>
      <c r="F79" s="19"/>
    </row>
    <row r="80" ht="15.75" customHeight="1">
      <c r="A80" s="19"/>
      <c r="B80" s="19"/>
      <c r="C80" s="19"/>
      <c r="D80" s="19"/>
      <c r="E80" s="19"/>
      <c r="F80" s="19"/>
    </row>
    <row r="81" ht="15.75" customHeight="1">
      <c r="A81" s="19"/>
      <c r="B81" s="19"/>
      <c r="C81" s="19"/>
      <c r="D81" s="19"/>
      <c r="E81" s="19"/>
      <c r="F81" s="19"/>
    </row>
    <row r="82" ht="15.75" customHeight="1">
      <c r="A82" s="19"/>
      <c r="B82" s="19"/>
      <c r="C82" s="19"/>
      <c r="D82" s="19"/>
      <c r="E82" s="19"/>
      <c r="F82" s="19"/>
    </row>
    <row r="83" ht="15.75" customHeight="1">
      <c r="A83" s="19"/>
      <c r="B83" s="19"/>
      <c r="C83" s="19"/>
      <c r="D83" s="19"/>
      <c r="E83" s="19"/>
      <c r="F83" s="19"/>
    </row>
    <row r="84" ht="15.75" customHeight="1">
      <c r="A84" s="19"/>
      <c r="B84" s="19"/>
      <c r="C84" s="19"/>
      <c r="D84" s="19"/>
      <c r="E84" s="19"/>
      <c r="F84" s="19"/>
    </row>
    <row r="85" ht="15.75" customHeight="1">
      <c r="A85" s="19"/>
      <c r="B85" s="19"/>
      <c r="C85" s="19"/>
      <c r="D85" s="19"/>
      <c r="E85" s="19"/>
      <c r="F85" s="19"/>
    </row>
    <row r="86" ht="15.75" customHeight="1">
      <c r="A86" s="19"/>
      <c r="B86" s="19"/>
      <c r="C86" s="19"/>
      <c r="D86" s="19"/>
      <c r="E86" s="19"/>
      <c r="F86" s="19"/>
    </row>
    <row r="87" ht="15.75" customHeight="1">
      <c r="A87" s="19"/>
      <c r="B87" s="19"/>
      <c r="C87" s="19"/>
      <c r="D87" s="19"/>
      <c r="E87" s="19"/>
      <c r="F87" s="19"/>
    </row>
    <row r="88" ht="15.75" customHeight="1">
      <c r="A88" s="19"/>
      <c r="B88" s="19"/>
      <c r="C88" s="19"/>
      <c r="D88" s="19"/>
      <c r="E88" s="19"/>
      <c r="F88" s="19"/>
    </row>
    <row r="89" ht="15.75" customHeight="1">
      <c r="A89" s="19"/>
      <c r="B89" s="19"/>
      <c r="C89" s="19"/>
      <c r="D89" s="19"/>
      <c r="E89" s="19"/>
      <c r="F89" s="19"/>
    </row>
    <row r="90" ht="15.75" customHeight="1">
      <c r="A90" s="19"/>
      <c r="B90" s="19"/>
      <c r="C90" s="19"/>
      <c r="D90" s="19"/>
      <c r="E90" s="19"/>
      <c r="F90" s="19"/>
    </row>
    <row r="91" ht="15.75" customHeight="1">
      <c r="A91" s="19"/>
      <c r="B91" s="19"/>
      <c r="C91" s="19"/>
      <c r="D91" s="19"/>
      <c r="E91" s="19"/>
      <c r="F91" s="19"/>
    </row>
    <row r="92" ht="15.75" customHeight="1">
      <c r="A92" s="19"/>
      <c r="B92" s="19"/>
      <c r="C92" s="19"/>
      <c r="D92" s="19"/>
      <c r="E92" s="19"/>
      <c r="F92" s="19"/>
    </row>
    <row r="93" ht="15.75" customHeight="1">
      <c r="A93" s="19"/>
      <c r="B93" s="19"/>
      <c r="C93" s="19"/>
      <c r="D93" s="19"/>
      <c r="E93" s="19"/>
      <c r="F93" s="19"/>
    </row>
    <row r="94" ht="15.75" customHeight="1">
      <c r="A94" s="19"/>
      <c r="B94" s="19"/>
      <c r="C94" s="19"/>
      <c r="D94" s="19"/>
      <c r="E94" s="19"/>
      <c r="F94" s="19"/>
    </row>
    <row r="95" ht="15.75" customHeight="1">
      <c r="A95" s="19"/>
      <c r="B95" s="19"/>
      <c r="C95" s="19"/>
      <c r="D95" s="19"/>
      <c r="E95" s="19"/>
      <c r="F95" s="19"/>
    </row>
    <row r="96" ht="15.75" customHeight="1">
      <c r="A96" s="19"/>
      <c r="B96" s="19"/>
      <c r="C96" s="19"/>
      <c r="D96" s="19"/>
      <c r="E96" s="19"/>
      <c r="F96" s="19"/>
    </row>
    <row r="97" ht="15.75" customHeight="1">
      <c r="A97" s="19"/>
      <c r="B97" s="19"/>
      <c r="C97" s="19"/>
      <c r="D97" s="19"/>
      <c r="E97" s="19"/>
      <c r="F97" s="19"/>
    </row>
    <row r="98" ht="15.75" customHeight="1">
      <c r="A98" s="19"/>
      <c r="B98" s="19"/>
      <c r="C98" s="19"/>
      <c r="D98" s="19"/>
      <c r="E98" s="19"/>
      <c r="F98" s="19"/>
    </row>
    <row r="99" ht="15.75" customHeight="1">
      <c r="A99" s="19"/>
      <c r="B99" s="19"/>
      <c r="C99" s="19"/>
      <c r="D99" s="19"/>
      <c r="E99" s="19"/>
      <c r="F99" s="19"/>
    </row>
    <row r="100" ht="15.75" customHeight="1">
      <c r="A100" s="19"/>
      <c r="B100" s="19"/>
      <c r="C100" s="19"/>
      <c r="D100" s="19"/>
      <c r="E100" s="19"/>
      <c r="F100" s="19"/>
    </row>
    <row r="101" ht="15.75" customHeight="1">
      <c r="A101" s="19"/>
      <c r="B101" s="19"/>
      <c r="C101" s="19"/>
      <c r="D101" s="19"/>
      <c r="E101" s="19"/>
      <c r="F101" s="19"/>
    </row>
    <row r="102" ht="15.75" customHeight="1">
      <c r="A102" s="19"/>
      <c r="B102" s="19"/>
      <c r="C102" s="19"/>
      <c r="D102" s="19"/>
      <c r="E102" s="19"/>
      <c r="F102" s="19"/>
    </row>
    <row r="103" ht="15.75" customHeight="1">
      <c r="A103" s="19"/>
      <c r="B103" s="19"/>
      <c r="C103" s="19"/>
      <c r="D103" s="19"/>
      <c r="E103" s="19"/>
      <c r="F103" s="19"/>
    </row>
    <row r="104" ht="15.75" customHeight="1">
      <c r="A104" s="19"/>
      <c r="B104" s="19"/>
      <c r="C104" s="19"/>
      <c r="D104" s="19"/>
      <c r="E104" s="19"/>
      <c r="F104" s="19"/>
    </row>
    <row r="105" ht="15.75" customHeight="1">
      <c r="A105" s="19"/>
      <c r="B105" s="19"/>
      <c r="C105" s="19"/>
      <c r="D105" s="19"/>
      <c r="E105" s="19"/>
      <c r="F105" s="19"/>
    </row>
    <row r="106" ht="15.75" customHeight="1">
      <c r="A106" s="19"/>
      <c r="B106" s="19"/>
      <c r="C106" s="19"/>
      <c r="D106" s="19"/>
      <c r="E106" s="19"/>
      <c r="F106" s="19"/>
    </row>
    <row r="107" ht="15.75" customHeight="1">
      <c r="A107" s="19"/>
      <c r="B107" s="19"/>
      <c r="C107" s="19"/>
      <c r="D107" s="19"/>
      <c r="E107" s="19"/>
      <c r="F107" s="19"/>
    </row>
    <row r="108" ht="15.75" customHeight="1">
      <c r="A108" s="19"/>
      <c r="B108" s="19"/>
      <c r="C108" s="19"/>
      <c r="D108" s="19"/>
      <c r="E108" s="19"/>
      <c r="F108" s="19"/>
    </row>
    <row r="109" ht="15.75" customHeight="1">
      <c r="A109" s="19"/>
      <c r="B109" s="19"/>
      <c r="C109" s="19"/>
      <c r="D109" s="19"/>
      <c r="E109" s="19"/>
      <c r="F109" s="19"/>
    </row>
    <row r="110" ht="15.75" customHeight="1">
      <c r="A110" s="19"/>
      <c r="B110" s="19"/>
      <c r="C110" s="19"/>
      <c r="D110" s="19"/>
      <c r="E110" s="19"/>
      <c r="F110" s="19"/>
    </row>
    <row r="111" ht="15.75" customHeight="1">
      <c r="A111" s="19"/>
      <c r="B111" s="19"/>
      <c r="C111" s="19"/>
      <c r="D111" s="19"/>
      <c r="E111" s="19"/>
      <c r="F111" s="19"/>
    </row>
    <row r="112" ht="15.75" customHeight="1">
      <c r="A112" s="19"/>
      <c r="B112" s="19"/>
      <c r="C112" s="19"/>
      <c r="D112" s="19"/>
      <c r="E112" s="19"/>
      <c r="F112" s="19"/>
    </row>
    <row r="113" ht="15.75" customHeight="1">
      <c r="A113" s="19"/>
      <c r="B113" s="19"/>
      <c r="C113" s="19"/>
      <c r="D113" s="19"/>
      <c r="E113" s="19"/>
      <c r="F113" s="19"/>
    </row>
    <row r="114" ht="15.75" customHeight="1">
      <c r="A114" s="19"/>
      <c r="B114" s="19"/>
      <c r="C114" s="19"/>
      <c r="D114" s="19"/>
      <c r="E114" s="19"/>
      <c r="F114" s="19"/>
    </row>
    <row r="115" ht="15.75" customHeight="1">
      <c r="A115" s="19"/>
      <c r="B115" s="19"/>
      <c r="C115" s="19"/>
      <c r="D115" s="19"/>
      <c r="E115" s="19"/>
      <c r="F115" s="19"/>
    </row>
    <row r="116" ht="15.75" customHeight="1">
      <c r="A116" s="19"/>
      <c r="B116" s="19"/>
      <c r="C116" s="19"/>
      <c r="D116" s="19"/>
      <c r="E116" s="19"/>
      <c r="F116" s="19"/>
    </row>
    <row r="117" ht="15.75" customHeight="1">
      <c r="A117" s="19"/>
      <c r="B117" s="19"/>
      <c r="C117" s="19"/>
      <c r="D117" s="19"/>
      <c r="E117" s="19"/>
      <c r="F117" s="19"/>
    </row>
    <row r="118" ht="15.75" customHeight="1">
      <c r="A118" s="19"/>
      <c r="B118" s="19"/>
      <c r="C118" s="19"/>
      <c r="D118" s="19"/>
      <c r="E118" s="19"/>
      <c r="F118" s="19"/>
    </row>
    <row r="119" ht="15.75" customHeight="1">
      <c r="A119" s="19"/>
      <c r="B119" s="19"/>
      <c r="C119" s="19"/>
      <c r="D119" s="19"/>
      <c r="E119" s="19"/>
      <c r="F119" s="19"/>
    </row>
    <row r="120" ht="15.75" customHeight="1">
      <c r="A120" s="19"/>
      <c r="B120" s="19"/>
      <c r="C120" s="19"/>
      <c r="D120" s="19"/>
      <c r="E120" s="19"/>
      <c r="F120" s="19"/>
    </row>
    <row r="121" ht="15.75" customHeight="1">
      <c r="A121" s="19"/>
      <c r="B121" s="19"/>
      <c r="C121" s="19"/>
      <c r="D121" s="19"/>
      <c r="E121" s="19"/>
      <c r="F121" s="19"/>
    </row>
    <row r="122" ht="15.75" customHeight="1">
      <c r="A122" s="19"/>
      <c r="B122" s="19"/>
      <c r="C122" s="19"/>
      <c r="D122" s="19"/>
      <c r="E122" s="19"/>
      <c r="F122" s="19"/>
    </row>
    <row r="123" ht="15.75" customHeight="1">
      <c r="A123" s="19"/>
      <c r="B123" s="19"/>
      <c r="C123" s="19"/>
      <c r="D123" s="19"/>
      <c r="E123" s="19"/>
      <c r="F123" s="19"/>
    </row>
    <row r="124" ht="15.75" customHeight="1">
      <c r="A124" s="19"/>
      <c r="B124" s="19"/>
      <c r="C124" s="19"/>
      <c r="D124" s="19"/>
      <c r="E124" s="19"/>
      <c r="F124" s="19"/>
    </row>
    <row r="125" ht="15.75" customHeight="1">
      <c r="A125" s="19"/>
      <c r="B125" s="19"/>
      <c r="C125" s="19"/>
      <c r="D125" s="19"/>
      <c r="E125" s="19"/>
      <c r="F125" s="19"/>
    </row>
    <row r="126" ht="15.75" customHeight="1">
      <c r="A126" s="19"/>
      <c r="B126" s="19"/>
      <c r="C126" s="19"/>
      <c r="D126" s="19"/>
      <c r="E126" s="19"/>
      <c r="F126" s="19"/>
    </row>
    <row r="127" ht="15.75" customHeight="1">
      <c r="A127" s="19"/>
      <c r="B127" s="19"/>
      <c r="C127" s="19"/>
      <c r="D127" s="19"/>
      <c r="E127" s="19"/>
      <c r="F127" s="19"/>
    </row>
    <row r="128" ht="15.75" customHeight="1">
      <c r="A128" s="19"/>
      <c r="B128" s="19"/>
      <c r="C128" s="19"/>
      <c r="D128" s="19"/>
      <c r="E128" s="19"/>
      <c r="F128" s="19"/>
    </row>
    <row r="129" ht="15.75" customHeight="1">
      <c r="A129" s="19"/>
      <c r="B129" s="19"/>
      <c r="C129" s="19"/>
      <c r="D129" s="19"/>
      <c r="E129" s="19"/>
      <c r="F129" s="19"/>
    </row>
    <row r="130" ht="15.75" customHeight="1">
      <c r="A130" s="19"/>
      <c r="B130" s="19"/>
      <c r="C130" s="19"/>
      <c r="D130" s="19"/>
      <c r="E130" s="19"/>
      <c r="F130" s="19"/>
    </row>
    <row r="131" ht="15.75" customHeight="1">
      <c r="A131" s="19"/>
      <c r="B131" s="19"/>
      <c r="C131" s="19"/>
      <c r="D131" s="19"/>
      <c r="E131" s="19"/>
      <c r="F131" s="19"/>
    </row>
    <row r="132" ht="15.75" customHeight="1">
      <c r="A132" s="19"/>
      <c r="B132" s="19"/>
      <c r="C132" s="19"/>
      <c r="D132" s="19"/>
      <c r="E132" s="19"/>
      <c r="F132" s="19"/>
    </row>
    <row r="133" ht="15.75" customHeight="1">
      <c r="A133" s="19"/>
      <c r="B133" s="19"/>
      <c r="C133" s="19"/>
      <c r="D133" s="19"/>
      <c r="E133" s="19"/>
      <c r="F133" s="19"/>
    </row>
    <row r="134" ht="15.75" customHeight="1">
      <c r="A134" s="19"/>
      <c r="B134" s="19"/>
      <c r="C134" s="19"/>
      <c r="D134" s="19"/>
      <c r="E134" s="19"/>
      <c r="F134" s="19"/>
    </row>
    <row r="135" ht="15.75" customHeight="1">
      <c r="A135" s="19"/>
      <c r="B135" s="19"/>
      <c r="C135" s="19"/>
      <c r="D135" s="19"/>
      <c r="E135" s="19"/>
      <c r="F135" s="19"/>
    </row>
    <row r="136" ht="15.75" customHeight="1">
      <c r="A136" s="19"/>
      <c r="B136" s="19"/>
      <c r="C136" s="19"/>
      <c r="D136" s="19"/>
      <c r="E136" s="19"/>
      <c r="F136" s="19"/>
    </row>
    <row r="137" ht="15.75" customHeight="1">
      <c r="A137" s="19"/>
      <c r="B137" s="19"/>
      <c r="C137" s="19"/>
      <c r="D137" s="19"/>
      <c r="E137" s="19"/>
      <c r="F137" s="19"/>
    </row>
    <row r="138" ht="15.75" customHeight="1">
      <c r="A138" s="19"/>
      <c r="B138" s="19"/>
      <c r="C138" s="19"/>
      <c r="D138" s="19"/>
      <c r="E138" s="19"/>
      <c r="F138" s="19"/>
    </row>
    <row r="139" ht="15.75" customHeight="1">
      <c r="A139" s="19"/>
      <c r="B139" s="19"/>
      <c r="C139" s="19"/>
      <c r="D139" s="19"/>
      <c r="E139" s="19"/>
      <c r="F139" s="19"/>
    </row>
    <row r="140" ht="15.75" customHeight="1">
      <c r="A140" s="19"/>
      <c r="B140" s="19"/>
      <c r="C140" s="19"/>
      <c r="D140" s="19"/>
      <c r="E140" s="19"/>
      <c r="F140" s="19"/>
    </row>
    <row r="141" ht="15.75" customHeight="1">
      <c r="A141" s="19"/>
      <c r="B141" s="19"/>
      <c r="C141" s="19"/>
      <c r="D141" s="19"/>
      <c r="E141" s="19"/>
      <c r="F141" s="19"/>
    </row>
    <row r="142" ht="15.75" customHeight="1">
      <c r="A142" s="19"/>
      <c r="B142" s="19"/>
      <c r="C142" s="19"/>
      <c r="D142" s="19"/>
      <c r="E142" s="19"/>
      <c r="F142" s="19"/>
    </row>
    <row r="143" ht="15.75" customHeight="1">
      <c r="A143" s="19"/>
      <c r="B143" s="19"/>
      <c r="C143" s="19"/>
      <c r="D143" s="19"/>
      <c r="E143" s="19"/>
      <c r="F143" s="19"/>
    </row>
    <row r="144" ht="15.75" customHeight="1">
      <c r="A144" s="19"/>
      <c r="B144" s="19"/>
      <c r="C144" s="19"/>
      <c r="D144" s="19"/>
      <c r="E144" s="19"/>
      <c r="F144" s="19"/>
    </row>
    <row r="145" ht="15.75" customHeight="1">
      <c r="A145" s="19"/>
      <c r="B145" s="19"/>
      <c r="C145" s="19"/>
      <c r="D145" s="19"/>
      <c r="E145" s="19"/>
      <c r="F145" s="19"/>
    </row>
    <row r="146" ht="15.75" customHeight="1">
      <c r="A146" s="19"/>
      <c r="B146" s="19"/>
      <c r="C146" s="19"/>
      <c r="D146" s="19"/>
      <c r="E146" s="19"/>
      <c r="F146" s="19"/>
    </row>
    <row r="147" ht="15.75" customHeight="1">
      <c r="A147" s="19"/>
      <c r="B147" s="19"/>
      <c r="C147" s="19"/>
      <c r="D147" s="19"/>
      <c r="E147" s="19"/>
      <c r="F147" s="19"/>
    </row>
    <row r="148" ht="15.75" customHeight="1">
      <c r="A148" s="19"/>
      <c r="B148" s="19"/>
      <c r="C148" s="19"/>
      <c r="D148" s="19"/>
      <c r="E148" s="19"/>
      <c r="F148" s="19"/>
    </row>
    <row r="149" ht="15.75" customHeight="1">
      <c r="A149" s="19"/>
      <c r="B149" s="19"/>
      <c r="C149" s="19"/>
      <c r="D149" s="19"/>
      <c r="E149" s="19"/>
      <c r="F149" s="19"/>
    </row>
    <row r="150" ht="15.75" customHeight="1">
      <c r="A150" s="19"/>
      <c r="B150" s="19"/>
      <c r="C150" s="19"/>
      <c r="D150" s="19"/>
      <c r="E150" s="19"/>
      <c r="F150" s="19"/>
    </row>
    <row r="151" ht="15.75" customHeight="1">
      <c r="A151" s="19"/>
      <c r="B151" s="19"/>
      <c r="C151" s="19"/>
      <c r="D151" s="19"/>
      <c r="E151" s="19"/>
      <c r="F151" s="19"/>
    </row>
    <row r="152" ht="15.75" customHeight="1">
      <c r="A152" s="19"/>
      <c r="B152" s="19"/>
      <c r="C152" s="19"/>
      <c r="D152" s="19"/>
      <c r="E152" s="19"/>
      <c r="F152" s="19"/>
    </row>
    <row r="153" ht="15.75" customHeight="1">
      <c r="A153" s="19"/>
      <c r="B153" s="19"/>
      <c r="C153" s="19"/>
      <c r="D153" s="19"/>
      <c r="E153" s="19"/>
      <c r="F153" s="19"/>
    </row>
    <row r="154" ht="15.75" customHeight="1">
      <c r="A154" s="19"/>
      <c r="B154" s="19"/>
      <c r="C154" s="19"/>
      <c r="D154" s="19"/>
      <c r="E154" s="19"/>
      <c r="F154" s="19"/>
    </row>
    <row r="155" ht="15.75" customHeight="1">
      <c r="A155" s="19"/>
      <c r="B155" s="19"/>
      <c r="C155" s="19"/>
      <c r="D155" s="19"/>
      <c r="E155" s="19"/>
      <c r="F155" s="19"/>
    </row>
    <row r="156" ht="15.75" customHeight="1">
      <c r="A156" s="19"/>
      <c r="B156" s="19"/>
      <c r="C156" s="19"/>
      <c r="D156" s="19"/>
      <c r="E156" s="19"/>
      <c r="F156" s="19"/>
    </row>
    <row r="157" ht="15.75" customHeight="1">
      <c r="A157" s="19"/>
      <c r="B157" s="19"/>
      <c r="C157" s="19"/>
      <c r="D157" s="19"/>
      <c r="E157" s="19"/>
      <c r="F157" s="19"/>
    </row>
    <row r="158" ht="15.75" customHeight="1">
      <c r="A158" s="19"/>
      <c r="B158" s="19"/>
      <c r="C158" s="19"/>
      <c r="D158" s="19"/>
      <c r="E158" s="19"/>
      <c r="F158" s="19"/>
    </row>
    <row r="159" ht="15.75" customHeight="1">
      <c r="A159" s="19"/>
      <c r="B159" s="19"/>
      <c r="C159" s="19"/>
      <c r="D159" s="19"/>
      <c r="E159" s="19"/>
      <c r="F159" s="19"/>
    </row>
    <row r="160" ht="15.75" customHeight="1">
      <c r="A160" s="19"/>
      <c r="B160" s="19"/>
      <c r="C160" s="19"/>
      <c r="D160" s="19"/>
      <c r="E160" s="19"/>
      <c r="F160" s="19"/>
    </row>
    <row r="161" ht="15.75" customHeight="1">
      <c r="A161" s="19"/>
      <c r="B161" s="19"/>
      <c r="C161" s="19"/>
      <c r="D161" s="19"/>
      <c r="E161" s="19"/>
      <c r="F161" s="19"/>
    </row>
    <row r="162" ht="15.75" customHeight="1">
      <c r="A162" s="19"/>
      <c r="B162" s="19"/>
      <c r="C162" s="19"/>
      <c r="D162" s="19"/>
      <c r="E162" s="19"/>
      <c r="F162" s="19"/>
    </row>
    <row r="163" ht="15.75" customHeight="1">
      <c r="A163" s="19"/>
      <c r="B163" s="19"/>
      <c r="C163" s="19"/>
      <c r="D163" s="19"/>
      <c r="E163" s="19"/>
      <c r="F163" s="19"/>
    </row>
    <row r="164" ht="15.75" customHeight="1">
      <c r="A164" s="19"/>
      <c r="B164" s="19"/>
      <c r="C164" s="19"/>
      <c r="D164" s="19"/>
      <c r="E164" s="19"/>
      <c r="F164" s="19"/>
    </row>
    <row r="165" ht="15.75" customHeight="1">
      <c r="A165" s="19"/>
      <c r="B165" s="19"/>
      <c r="C165" s="19"/>
      <c r="D165" s="19"/>
      <c r="E165" s="19"/>
      <c r="F165" s="19"/>
    </row>
    <row r="166" ht="15.75" customHeight="1">
      <c r="A166" s="19"/>
      <c r="B166" s="19"/>
      <c r="C166" s="19"/>
      <c r="D166" s="19"/>
      <c r="E166" s="19"/>
      <c r="F166" s="19"/>
    </row>
    <row r="167" ht="15.75" customHeight="1">
      <c r="A167" s="19"/>
      <c r="B167" s="19"/>
      <c r="C167" s="19"/>
      <c r="D167" s="19"/>
      <c r="E167" s="19"/>
      <c r="F167" s="19"/>
    </row>
    <row r="168" ht="15.75" customHeight="1">
      <c r="A168" s="19"/>
      <c r="B168" s="19"/>
      <c r="C168" s="19"/>
      <c r="D168" s="19"/>
      <c r="E168" s="19"/>
      <c r="F168" s="19"/>
    </row>
    <row r="169" ht="15.75" customHeight="1">
      <c r="A169" s="19"/>
      <c r="B169" s="19"/>
      <c r="C169" s="19"/>
      <c r="D169" s="19"/>
      <c r="E169" s="19"/>
      <c r="F169" s="19"/>
    </row>
    <row r="170" ht="15.75" customHeight="1">
      <c r="A170" s="19"/>
      <c r="B170" s="19"/>
      <c r="C170" s="19"/>
      <c r="D170" s="19"/>
      <c r="E170" s="19"/>
      <c r="F170" s="19"/>
    </row>
    <row r="171" ht="15.75" customHeight="1">
      <c r="A171" s="19"/>
      <c r="B171" s="19"/>
      <c r="C171" s="19"/>
      <c r="D171" s="19"/>
      <c r="E171" s="19"/>
      <c r="F171" s="19"/>
    </row>
    <row r="172" ht="15.75" customHeight="1">
      <c r="A172" s="19"/>
      <c r="B172" s="19"/>
      <c r="C172" s="19"/>
      <c r="D172" s="19"/>
      <c r="E172" s="19"/>
      <c r="F172" s="19"/>
    </row>
    <row r="173" ht="15.75" customHeight="1">
      <c r="A173" s="19"/>
      <c r="B173" s="19"/>
      <c r="C173" s="19"/>
      <c r="D173" s="19"/>
      <c r="E173" s="19"/>
      <c r="F173" s="19"/>
    </row>
    <row r="174" ht="15.75" customHeight="1">
      <c r="A174" s="19"/>
      <c r="B174" s="19"/>
      <c r="C174" s="19"/>
      <c r="D174" s="19"/>
      <c r="E174" s="19"/>
      <c r="F174" s="19"/>
    </row>
    <row r="175" ht="15.75" customHeight="1">
      <c r="A175" s="19"/>
      <c r="B175" s="19"/>
      <c r="C175" s="19"/>
      <c r="D175" s="19"/>
      <c r="E175" s="19"/>
      <c r="F175" s="19"/>
    </row>
    <row r="176" ht="15.75" customHeight="1">
      <c r="A176" s="19"/>
      <c r="B176" s="19"/>
      <c r="C176" s="19"/>
      <c r="D176" s="19"/>
      <c r="E176" s="19"/>
      <c r="F176" s="19"/>
    </row>
    <row r="177" ht="15.75" customHeight="1">
      <c r="A177" s="19"/>
      <c r="B177" s="19"/>
      <c r="C177" s="19"/>
      <c r="D177" s="19"/>
      <c r="E177" s="19"/>
      <c r="F177" s="19"/>
    </row>
    <row r="178" ht="15.75" customHeight="1">
      <c r="A178" s="19"/>
      <c r="B178" s="19"/>
      <c r="C178" s="19"/>
      <c r="D178" s="19"/>
      <c r="E178" s="19"/>
      <c r="F178" s="19"/>
    </row>
    <row r="179" ht="15.75" customHeight="1">
      <c r="A179" s="19"/>
      <c r="B179" s="19"/>
      <c r="C179" s="19"/>
      <c r="D179" s="19"/>
      <c r="E179" s="19"/>
      <c r="F179" s="19"/>
    </row>
    <row r="180" ht="15.75" customHeight="1">
      <c r="A180" s="19"/>
      <c r="B180" s="19"/>
      <c r="C180" s="19"/>
      <c r="D180" s="19"/>
      <c r="E180" s="19"/>
      <c r="F180" s="19"/>
    </row>
    <row r="181" ht="15.75" customHeight="1">
      <c r="A181" s="19"/>
      <c r="B181" s="19"/>
      <c r="C181" s="19"/>
      <c r="D181" s="19"/>
      <c r="E181" s="19"/>
      <c r="F181" s="19"/>
    </row>
    <row r="182" ht="15.75" customHeight="1">
      <c r="A182" s="19"/>
      <c r="B182" s="19"/>
      <c r="C182" s="19"/>
      <c r="D182" s="19"/>
      <c r="E182" s="19"/>
      <c r="F182" s="19"/>
    </row>
    <row r="183" ht="15.75" customHeight="1">
      <c r="A183" s="19"/>
      <c r="B183" s="19"/>
      <c r="C183" s="19"/>
      <c r="D183" s="19"/>
      <c r="E183" s="19"/>
      <c r="F183" s="19"/>
    </row>
    <row r="184" ht="15.75" customHeight="1">
      <c r="A184" s="19"/>
      <c r="B184" s="19"/>
      <c r="C184" s="19"/>
      <c r="D184" s="19"/>
      <c r="E184" s="19"/>
      <c r="F184" s="19"/>
    </row>
    <row r="185" ht="15.75" customHeight="1">
      <c r="A185" s="19"/>
      <c r="B185" s="19"/>
      <c r="C185" s="19"/>
      <c r="D185" s="19"/>
      <c r="E185" s="19"/>
      <c r="F185" s="19"/>
    </row>
    <row r="186" ht="15.75" customHeight="1">
      <c r="A186" s="19"/>
      <c r="B186" s="19"/>
      <c r="C186" s="19"/>
      <c r="D186" s="19"/>
      <c r="E186" s="19"/>
      <c r="F186" s="19"/>
    </row>
    <row r="187" ht="15.75" customHeight="1">
      <c r="A187" s="19"/>
      <c r="B187" s="19"/>
      <c r="C187" s="19"/>
      <c r="D187" s="19"/>
      <c r="E187" s="19"/>
      <c r="F187" s="19"/>
    </row>
    <row r="188" ht="15.75" customHeight="1">
      <c r="A188" s="19"/>
      <c r="B188" s="19"/>
      <c r="C188" s="19"/>
      <c r="D188" s="19"/>
      <c r="E188" s="19"/>
      <c r="F188" s="19"/>
    </row>
    <row r="189" ht="15.75" customHeight="1">
      <c r="A189" s="19"/>
      <c r="B189" s="19"/>
      <c r="C189" s="19"/>
      <c r="D189" s="19"/>
      <c r="E189" s="19"/>
      <c r="F189" s="19"/>
    </row>
    <row r="190" ht="15.75" customHeight="1">
      <c r="A190" s="19"/>
      <c r="B190" s="19"/>
      <c r="C190" s="19"/>
      <c r="D190" s="19"/>
      <c r="E190" s="19"/>
      <c r="F190" s="19"/>
    </row>
    <row r="191" ht="15.75" customHeight="1">
      <c r="A191" s="19"/>
      <c r="B191" s="19"/>
      <c r="C191" s="19"/>
      <c r="D191" s="19"/>
      <c r="E191" s="19"/>
      <c r="F191" s="19"/>
    </row>
    <row r="192" ht="15.75" customHeight="1">
      <c r="A192" s="19"/>
      <c r="B192" s="19"/>
      <c r="C192" s="19"/>
      <c r="D192" s="19"/>
      <c r="E192" s="19"/>
      <c r="F192" s="19"/>
    </row>
    <row r="193" ht="15.75" customHeight="1">
      <c r="A193" s="19"/>
      <c r="B193" s="19"/>
      <c r="C193" s="19"/>
      <c r="D193" s="19"/>
      <c r="E193" s="19"/>
      <c r="F193" s="19"/>
    </row>
    <row r="194" ht="15.75" customHeight="1">
      <c r="A194" s="19"/>
      <c r="B194" s="19"/>
      <c r="C194" s="19"/>
      <c r="D194" s="19"/>
      <c r="E194" s="19"/>
      <c r="F194" s="19"/>
    </row>
    <row r="195" ht="15.75" customHeight="1">
      <c r="A195" s="19"/>
      <c r="B195" s="19"/>
      <c r="C195" s="19"/>
      <c r="D195" s="19"/>
      <c r="E195" s="19"/>
      <c r="F195" s="19"/>
    </row>
    <row r="196" ht="15.75" customHeight="1">
      <c r="A196" s="19"/>
      <c r="B196" s="19"/>
      <c r="C196" s="19"/>
      <c r="D196" s="19"/>
      <c r="E196" s="19"/>
      <c r="F196" s="19"/>
    </row>
    <row r="197" ht="15.75" customHeight="1">
      <c r="A197" s="19"/>
      <c r="B197" s="19"/>
      <c r="C197" s="19"/>
      <c r="D197" s="19"/>
      <c r="E197" s="19"/>
      <c r="F197" s="19"/>
    </row>
    <row r="198" ht="15.75" customHeight="1">
      <c r="A198" s="19"/>
      <c r="B198" s="19"/>
      <c r="C198" s="19"/>
      <c r="D198" s="19"/>
      <c r="E198" s="19"/>
      <c r="F198" s="19"/>
    </row>
    <row r="199" ht="15.75" customHeight="1">
      <c r="A199" s="19"/>
      <c r="B199" s="19"/>
      <c r="C199" s="19"/>
      <c r="D199" s="19"/>
      <c r="E199" s="19"/>
      <c r="F199" s="19"/>
    </row>
    <row r="200" ht="15.75" customHeight="1">
      <c r="A200" s="19"/>
      <c r="B200" s="19"/>
      <c r="C200" s="19"/>
      <c r="D200" s="19"/>
      <c r="E200" s="19"/>
      <c r="F200" s="19"/>
    </row>
    <row r="201" ht="15.75" customHeight="1">
      <c r="A201" s="19"/>
      <c r="B201" s="19"/>
      <c r="C201" s="19"/>
      <c r="D201" s="19"/>
      <c r="E201" s="19"/>
      <c r="F201" s="19"/>
    </row>
    <row r="202" ht="15.75" customHeight="1">
      <c r="A202" s="19"/>
      <c r="B202" s="19"/>
      <c r="C202" s="19"/>
      <c r="D202" s="19"/>
      <c r="E202" s="19"/>
      <c r="F202" s="19"/>
    </row>
    <row r="203" ht="15.75" customHeight="1">
      <c r="A203" s="19"/>
      <c r="B203" s="19"/>
      <c r="C203" s="19"/>
      <c r="D203" s="19"/>
      <c r="E203" s="19"/>
      <c r="F203" s="19"/>
    </row>
    <row r="204" ht="15.75" customHeight="1">
      <c r="A204" s="19"/>
      <c r="B204" s="19"/>
      <c r="C204" s="19"/>
      <c r="D204" s="19"/>
      <c r="E204" s="19"/>
      <c r="F204" s="19"/>
    </row>
    <row r="205" ht="15.75" customHeight="1">
      <c r="A205" s="19"/>
      <c r="B205" s="19"/>
      <c r="C205" s="19"/>
      <c r="D205" s="19"/>
      <c r="E205" s="19"/>
      <c r="F205" s="19"/>
    </row>
    <row r="206" ht="15.75" customHeight="1">
      <c r="A206" s="19"/>
      <c r="B206" s="19"/>
      <c r="C206" s="19"/>
      <c r="D206" s="19"/>
      <c r="E206" s="19"/>
      <c r="F206" s="19"/>
    </row>
    <row r="207" ht="15.75" customHeight="1">
      <c r="A207" s="19"/>
      <c r="B207" s="19"/>
      <c r="C207" s="19"/>
      <c r="D207" s="19"/>
      <c r="E207" s="19"/>
      <c r="F207" s="19"/>
    </row>
    <row r="208" ht="15.75" customHeight="1">
      <c r="A208" s="19"/>
      <c r="B208" s="19"/>
      <c r="C208" s="19"/>
      <c r="D208" s="19"/>
      <c r="E208" s="19"/>
      <c r="F208" s="19"/>
    </row>
    <row r="209" ht="15.75" customHeight="1">
      <c r="A209" s="19"/>
      <c r="B209" s="19"/>
      <c r="C209" s="19"/>
      <c r="D209" s="19"/>
      <c r="E209" s="19"/>
      <c r="F209" s="19"/>
    </row>
    <row r="210" ht="15.75" customHeight="1">
      <c r="A210" s="19"/>
      <c r="B210" s="19"/>
      <c r="C210" s="19"/>
      <c r="D210" s="19"/>
      <c r="E210" s="19"/>
      <c r="F210" s="19"/>
    </row>
    <row r="211" ht="15.75" customHeight="1">
      <c r="A211" s="19"/>
      <c r="B211" s="19"/>
      <c r="C211" s="19"/>
      <c r="D211" s="19"/>
      <c r="E211" s="19"/>
      <c r="F211" s="19"/>
    </row>
    <row r="212" ht="15.75" customHeight="1">
      <c r="A212" s="19"/>
      <c r="B212" s="19"/>
      <c r="C212" s="19"/>
      <c r="D212" s="19"/>
      <c r="E212" s="19"/>
      <c r="F212" s="19"/>
    </row>
    <row r="213" ht="15.75" customHeight="1">
      <c r="A213" s="19"/>
      <c r="B213" s="19"/>
      <c r="C213" s="19"/>
      <c r="D213" s="19"/>
      <c r="E213" s="19"/>
      <c r="F213" s="19"/>
    </row>
    <row r="214" ht="15.75" customHeight="1">
      <c r="A214" s="19"/>
      <c r="B214" s="19"/>
      <c r="C214" s="19"/>
      <c r="D214" s="19"/>
      <c r="E214" s="19"/>
      <c r="F214" s="19"/>
    </row>
    <row r="215" ht="15.75" customHeight="1">
      <c r="A215" s="19"/>
      <c r="B215" s="19"/>
      <c r="C215" s="19"/>
      <c r="D215" s="19"/>
      <c r="E215" s="19"/>
      <c r="F215" s="19"/>
    </row>
    <row r="216" ht="15.75" customHeight="1">
      <c r="A216" s="19"/>
      <c r="B216" s="19"/>
      <c r="C216" s="19"/>
      <c r="D216" s="19"/>
      <c r="E216" s="19"/>
      <c r="F216" s="19"/>
    </row>
    <row r="217" ht="15.75" customHeight="1">
      <c r="A217" s="19"/>
      <c r="B217" s="19"/>
      <c r="C217" s="19"/>
      <c r="D217" s="19"/>
      <c r="E217" s="19"/>
      <c r="F217" s="19"/>
    </row>
    <row r="218" ht="15.75" customHeight="1">
      <c r="A218" s="19"/>
      <c r="B218" s="19"/>
      <c r="C218" s="19"/>
      <c r="D218" s="19"/>
      <c r="E218" s="19"/>
      <c r="F218" s="19"/>
    </row>
    <row r="219" ht="15.75" customHeight="1">
      <c r="A219" s="19"/>
      <c r="B219" s="19"/>
      <c r="C219" s="19"/>
      <c r="D219" s="19"/>
      <c r="E219" s="19"/>
      <c r="F219" s="19"/>
    </row>
    <row r="220" ht="15.75" customHeight="1">
      <c r="A220" s="19"/>
      <c r="B220" s="19"/>
      <c r="C220" s="19"/>
      <c r="D220" s="19"/>
      <c r="E220" s="19"/>
      <c r="F220" s="19"/>
    </row>
    <row r="221" ht="15.75" customHeight="1">
      <c r="A221" s="19"/>
      <c r="B221" s="19"/>
      <c r="C221" s="19"/>
      <c r="D221" s="19"/>
      <c r="E221" s="19"/>
      <c r="F221" s="19"/>
    </row>
    <row r="222" ht="15.75" customHeight="1">
      <c r="A222" s="19"/>
      <c r="B222" s="19"/>
      <c r="C222" s="19"/>
      <c r="D222" s="19"/>
      <c r="E222" s="19"/>
      <c r="F222" s="19"/>
    </row>
    <row r="223" ht="15.75" customHeight="1">
      <c r="A223" s="19"/>
      <c r="B223" s="19"/>
      <c r="C223" s="19"/>
      <c r="D223" s="19"/>
      <c r="E223" s="19"/>
      <c r="F223" s="19"/>
    </row>
    <row r="224" ht="15.75" customHeight="1">
      <c r="A224" s="19"/>
      <c r="B224" s="19"/>
      <c r="C224" s="19"/>
      <c r="D224" s="19"/>
      <c r="E224" s="19"/>
      <c r="F224" s="19"/>
    </row>
    <row r="225" ht="15.75" customHeight="1">
      <c r="A225" s="19"/>
      <c r="B225" s="19"/>
      <c r="C225" s="19"/>
      <c r="D225" s="19"/>
      <c r="E225" s="19"/>
      <c r="F225" s="19"/>
    </row>
    <row r="226" ht="15.75" customHeight="1">
      <c r="A226" s="19"/>
      <c r="B226" s="19"/>
      <c r="C226" s="19"/>
      <c r="D226" s="19"/>
      <c r="E226" s="19"/>
      <c r="F226" s="19"/>
    </row>
    <row r="227" ht="15.75" customHeight="1">
      <c r="A227" s="19"/>
      <c r="B227" s="19"/>
      <c r="C227" s="19"/>
      <c r="D227" s="19"/>
      <c r="E227" s="19"/>
      <c r="F227" s="19"/>
    </row>
    <row r="228" ht="15.75" customHeight="1">
      <c r="A228" s="19"/>
      <c r="B228" s="19"/>
      <c r="C228" s="19"/>
      <c r="D228" s="19"/>
      <c r="E228" s="19"/>
      <c r="F228" s="19"/>
    </row>
    <row r="229" ht="15.75" customHeight="1">
      <c r="A229" s="19"/>
      <c r="B229" s="19"/>
      <c r="C229" s="19"/>
      <c r="D229" s="19"/>
      <c r="E229" s="19"/>
      <c r="F229" s="19"/>
    </row>
    <row r="230" ht="15.75" customHeight="1">
      <c r="A230" s="19"/>
      <c r="B230" s="19"/>
      <c r="C230" s="19"/>
      <c r="D230" s="19"/>
      <c r="E230" s="19"/>
      <c r="F230" s="19"/>
    </row>
    <row r="231" ht="15.75" customHeight="1">
      <c r="A231" s="19"/>
      <c r="B231" s="19"/>
      <c r="C231" s="19"/>
      <c r="D231" s="19"/>
      <c r="E231" s="19"/>
      <c r="F231" s="19"/>
    </row>
    <row r="232" ht="15.75" customHeight="1">
      <c r="A232" s="19"/>
      <c r="B232" s="19"/>
      <c r="C232" s="19"/>
      <c r="D232" s="19"/>
      <c r="E232" s="19"/>
      <c r="F232" s="19"/>
    </row>
    <row r="233" ht="15.75" customHeight="1">
      <c r="A233" s="19"/>
      <c r="B233" s="19"/>
      <c r="C233" s="19"/>
      <c r="D233" s="19"/>
      <c r="E233" s="19"/>
      <c r="F233" s="19"/>
    </row>
    <row r="234" ht="15.75" customHeight="1">
      <c r="A234" s="19"/>
      <c r="B234" s="19"/>
      <c r="C234" s="19"/>
      <c r="D234" s="19"/>
      <c r="E234" s="19"/>
      <c r="F234" s="19"/>
    </row>
    <row r="235" ht="15.75" customHeight="1">
      <c r="A235" s="19"/>
      <c r="B235" s="19"/>
      <c r="C235" s="19"/>
      <c r="D235" s="19"/>
      <c r="E235" s="19"/>
      <c r="F235" s="19"/>
    </row>
    <row r="236" ht="15.75" customHeight="1">
      <c r="A236" s="19"/>
      <c r="B236" s="19"/>
      <c r="C236" s="19"/>
      <c r="D236" s="19"/>
      <c r="E236" s="19"/>
      <c r="F236" s="19"/>
    </row>
    <row r="237" ht="15.75" customHeight="1">
      <c r="A237" s="19"/>
      <c r="B237" s="19"/>
      <c r="C237" s="19"/>
      <c r="D237" s="19"/>
      <c r="E237" s="19"/>
      <c r="F237" s="19"/>
    </row>
    <row r="238" ht="15.75" customHeight="1">
      <c r="A238" s="19"/>
      <c r="B238" s="19"/>
      <c r="C238" s="19"/>
      <c r="D238" s="19"/>
      <c r="E238" s="19"/>
      <c r="F238" s="19"/>
    </row>
    <row r="239" ht="15.75" customHeight="1">
      <c r="A239" s="19"/>
      <c r="B239" s="19"/>
      <c r="C239" s="19"/>
      <c r="D239" s="19"/>
      <c r="E239" s="19"/>
      <c r="F239" s="19"/>
    </row>
    <row r="240" ht="15.75" customHeight="1">
      <c r="A240" s="19"/>
      <c r="B240" s="19"/>
      <c r="C240" s="19"/>
      <c r="D240" s="19"/>
      <c r="E240" s="19"/>
      <c r="F240" s="19"/>
    </row>
    <row r="241" ht="15.75" customHeight="1">
      <c r="A241" s="19"/>
      <c r="B241" s="19"/>
      <c r="C241" s="19"/>
      <c r="D241" s="19"/>
      <c r="E241" s="19"/>
      <c r="F241" s="19"/>
    </row>
    <row r="242" ht="15.75" customHeight="1">
      <c r="A242" s="19"/>
      <c r="B242" s="19"/>
      <c r="C242" s="19"/>
      <c r="D242" s="19"/>
      <c r="E242" s="19"/>
      <c r="F242" s="19"/>
    </row>
    <row r="243" ht="15.75" customHeight="1">
      <c r="A243" s="19"/>
      <c r="B243" s="19"/>
      <c r="C243" s="19"/>
      <c r="D243" s="19"/>
      <c r="E243" s="19"/>
      <c r="F243" s="19"/>
    </row>
    <row r="244" ht="15.75" customHeight="1">
      <c r="A244" s="19"/>
      <c r="B244" s="19"/>
      <c r="C244" s="19"/>
      <c r="D244" s="19"/>
      <c r="E244" s="19"/>
      <c r="F244" s="19"/>
    </row>
    <row r="245" ht="15.75" customHeight="1">
      <c r="A245" s="19"/>
      <c r="B245" s="19"/>
      <c r="C245" s="19"/>
      <c r="D245" s="19"/>
      <c r="E245" s="19"/>
      <c r="F245" s="19"/>
    </row>
    <row r="246" ht="15.75" customHeight="1">
      <c r="A246" s="19"/>
      <c r="B246" s="19"/>
      <c r="C246" s="19"/>
      <c r="D246" s="19"/>
      <c r="E246" s="19"/>
      <c r="F246" s="19"/>
    </row>
    <row r="247" ht="15.75" customHeight="1">
      <c r="A247" s="19"/>
      <c r="B247" s="19"/>
      <c r="C247" s="19"/>
      <c r="D247" s="19"/>
      <c r="E247" s="19"/>
      <c r="F247" s="19"/>
    </row>
    <row r="248" ht="15.75" customHeight="1">
      <c r="A248" s="19"/>
      <c r="B248" s="19"/>
      <c r="C248" s="19"/>
      <c r="D248" s="19"/>
      <c r="E248" s="19"/>
      <c r="F248" s="19"/>
    </row>
    <row r="249" ht="15.75" customHeight="1">
      <c r="A249" s="19"/>
      <c r="B249" s="19"/>
      <c r="C249" s="19"/>
      <c r="D249" s="19"/>
      <c r="E249" s="19"/>
      <c r="F249" s="19"/>
    </row>
    <row r="250" ht="15.75" customHeight="1">
      <c r="A250" s="19"/>
      <c r="B250" s="19"/>
      <c r="C250" s="19"/>
      <c r="D250" s="19"/>
      <c r="E250" s="19"/>
      <c r="F250" s="19"/>
    </row>
    <row r="251" ht="15.75" customHeight="1">
      <c r="A251" s="19"/>
      <c r="B251" s="19"/>
      <c r="C251" s="19"/>
      <c r="D251" s="19"/>
      <c r="E251" s="19"/>
      <c r="F251" s="19"/>
    </row>
    <row r="252" ht="15.75" customHeight="1">
      <c r="A252" s="19"/>
      <c r="B252" s="19"/>
      <c r="C252" s="19"/>
      <c r="D252" s="19"/>
      <c r="E252" s="19"/>
      <c r="F252" s="19"/>
    </row>
    <row r="253" ht="15.75" customHeight="1">
      <c r="A253" s="19"/>
      <c r="B253" s="19"/>
      <c r="C253" s="19"/>
      <c r="D253" s="19"/>
      <c r="E253" s="19"/>
      <c r="F253" s="19"/>
    </row>
    <row r="254" ht="15.75" customHeight="1">
      <c r="A254" s="19"/>
      <c r="B254" s="19"/>
      <c r="C254" s="19"/>
      <c r="D254" s="19"/>
      <c r="E254" s="19"/>
      <c r="F254" s="19"/>
    </row>
    <row r="255" ht="15.75" customHeight="1">
      <c r="A255" s="19"/>
      <c r="B255" s="19"/>
      <c r="C255" s="19"/>
      <c r="D255" s="19"/>
      <c r="E255" s="19"/>
      <c r="F255" s="19"/>
    </row>
    <row r="256" ht="15.75" customHeight="1">
      <c r="A256" s="19"/>
      <c r="B256" s="19"/>
      <c r="C256" s="19"/>
      <c r="D256" s="19"/>
      <c r="E256" s="19"/>
      <c r="F256" s="19"/>
    </row>
    <row r="257" ht="15.75" customHeight="1">
      <c r="A257" s="19"/>
      <c r="B257" s="19"/>
      <c r="C257" s="19"/>
      <c r="D257" s="19"/>
      <c r="E257" s="19"/>
      <c r="F257" s="19"/>
    </row>
    <row r="258" ht="15.75" customHeight="1">
      <c r="A258" s="19"/>
      <c r="B258" s="19"/>
      <c r="C258" s="19"/>
      <c r="D258" s="19"/>
      <c r="E258" s="19"/>
      <c r="F258" s="19"/>
    </row>
    <row r="259" ht="15.75" customHeight="1">
      <c r="A259" s="19"/>
      <c r="B259" s="19"/>
      <c r="C259" s="19"/>
      <c r="D259" s="19"/>
      <c r="E259" s="19"/>
      <c r="F259" s="19"/>
    </row>
    <row r="260" ht="15.75" customHeight="1">
      <c r="A260" s="19"/>
      <c r="B260" s="19"/>
      <c r="C260" s="19"/>
      <c r="D260" s="19"/>
      <c r="E260" s="19"/>
      <c r="F260" s="19"/>
    </row>
    <row r="261" ht="15.75" customHeight="1">
      <c r="A261" s="19"/>
      <c r="B261" s="19"/>
      <c r="C261" s="19"/>
      <c r="D261" s="19"/>
      <c r="E261" s="19"/>
      <c r="F261" s="19"/>
    </row>
    <row r="262" ht="15.75" customHeight="1">
      <c r="A262" s="19"/>
      <c r="B262" s="19"/>
      <c r="C262" s="19"/>
      <c r="D262" s="19"/>
      <c r="E262" s="19"/>
      <c r="F262" s="19"/>
    </row>
    <row r="263" ht="15.75" customHeight="1">
      <c r="A263" s="19"/>
      <c r="B263" s="19"/>
      <c r="C263" s="19"/>
      <c r="D263" s="19"/>
      <c r="E263" s="19"/>
      <c r="F263" s="19"/>
    </row>
    <row r="264" ht="15.75" customHeight="1">
      <c r="A264" s="19"/>
      <c r="B264" s="19"/>
      <c r="C264" s="19"/>
      <c r="D264" s="19"/>
      <c r="E264" s="19"/>
      <c r="F264" s="19"/>
    </row>
    <row r="265" ht="15.75" customHeight="1">
      <c r="A265" s="19"/>
      <c r="B265" s="19"/>
      <c r="C265" s="19"/>
      <c r="D265" s="19"/>
      <c r="E265" s="19"/>
      <c r="F265" s="19"/>
    </row>
    <row r="266" ht="15.75" customHeight="1">
      <c r="A266" s="19"/>
      <c r="B266" s="19"/>
      <c r="C266" s="19"/>
      <c r="D266" s="19"/>
      <c r="E266" s="19"/>
      <c r="F266" s="19"/>
    </row>
    <row r="267" ht="15.75" customHeight="1">
      <c r="A267" s="19"/>
      <c r="B267" s="19"/>
      <c r="C267" s="19"/>
      <c r="D267" s="19"/>
      <c r="E267" s="19"/>
      <c r="F267" s="19"/>
    </row>
    <row r="268" ht="15.75" customHeight="1">
      <c r="A268" s="19"/>
      <c r="B268" s="19"/>
      <c r="C268" s="19"/>
      <c r="D268" s="19"/>
      <c r="E268" s="19"/>
      <c r="F268" s="19"/>
    </row>
    <row r="269" ht="15.75" customHeight="1">
      <c r="A269" s="19"/>
      <c r="B269" s="19"/>
      <c r="C269" s="19"/>
      <c r="D269" s="19"/>
      <c r="E269" s="19"/>
      <c r="F269" s="19"/>
    </row>
    <row r="270" ht="15.75" customHeight="1">
      <c r="A270" s="19"/>
      <c r="B270" s="19"/>
      <c r="C270" s="19"/>
      <c r="D270" s="19"/>
      <c r="E270" s="19"/>
      <c r="F270" s="19"/>
    </row>
    <row r="271" ht="15.75" customHeight="1">
      <c r="A271" s="19"/>
      <c r="B271" s="19"/>
      <c r="C271" s="19"/>
      <c r="D271" s="19"/>
      <c r="E271" s="19"/>
      <c r="F271" s="19"/>
    </row>
    <row r="272" ht="15.75" customHeight="1">
      <c r="A272" s="19"/>
      <c r="B272" s="19"/>
      <c r="C272" s="19"/>
      <c r="D272" s="19"/>
      <c r="E272" s="19"/>
      <c r="F272" s="19"/>
    </row>
    <row r="273" ht="15.75" customHeight="1">
      <c r="A273" s="19"/>
      <c r="B273" s="19"/>
      <c r="C273" s="19"/>
      <c r="D273" s="19"/>
      <c r="E273" s="19"/>
      <c r="F273" s="19"/>
    </row>
    <row r="274" ht="15.75" customHeight="1">
      <c r="A274" s="19"/>
      <c r="B274" s="19"/>
      <c r="C274" s="19"/>
      <c r="D274" s="19"/>
      <c r="E274" s="19"/>
      <c r="F274" s="19"/>
    </row>
    <row r="275" ht="15.75" customHeight="1">
      <c r="A275" s="19"/>
      <c r="B275" s="19"/>
      <c r="C275" s="19"/>
      <c r="D275" s="19"/>
      <c r="E275" s="19"/>
      <c r="F275" s="19"/>
    </row>
    <row r="276" ht="15.75" customHeight="1">
      <c r="A276" s="19"/>
      <c r="B276" s="19"/>
      <c r="C276" s="19"/>
      <c r="D276" s="19"/>
      <c r="E276" s="19"/>
      <c r="F276" s="19"/>
    </row>
    <row r="277" ht="15.75" customHeight="1">
      <c r="A277" s="19"/>
      <c r="B277" s="19"/>
      <c r="C277" s="19"/>
      <c r="D277" s="19"/>
      <c r="E277" s="19"/>
      <c r="F277" s="19"/>
    </row>
    <row r="278" ht="15.75" customHeight="1">
      <c r="A278" s="19"/>
      <c r="B278" s="19"/>
      <c r="C278" s="19"/>
      <c r="D278" s="19"/>
      <c r="E278" s="19"/>
      <c r="F278" s="19"/>
    </row>
    <row r="279" ht="15.75" customHeight="1">
      <c r="A279" s="19"/>
      <c r="B279" s="19"/>
      <c r="C279" s="19"/>
      <c r="D279" s="19"/>
      <c r="E279" s="19"/>
      <c r="F279" s="19"/>
    </row>
    <row r="280" ht="15.75" customHeight="1">
      <c r="A280" s="19"/>
      <c r="B280" s="19"/>
      <c r="C280" s="19"/>
      <c r="D280" s="19"/>
      <c r="E280" s="19"/>
      <c r="F280" s="19"/>
    </row>
    <row r="281" ht="15.75" customHeight="1">
      <c r="A281" s="19"/>
      <c r="B281" s="19"/>
      <c r="C281" s="19"/>
      <c r="D281" s="19"/>
      <c r="E281" s="19"/>
      <c r="F281" s="19"/>
    </row>
    <row r="282" ht="15.75" customHeight="1">
      <c r="A282" s="19"/>
      <c r="B282" s="19"/>
      <c r="C282" s="19"/>
      <c r="D282" s="19"/>
      <c r="E282" s="19"/>
      <c r="F282" s="19"/>
    </row>
    <row r="283" ht="15.75" customHeight="1">
      <c r="A283" s="19"/>
      <c r="B283" s="19"/>
      <c r="C283" s="19"/>
      <c r="D283" s="19"/>
      <c r="E283" s="19"/>
      <c r="F283" s="19"/>
    </row>
    <row r="284" ht="15.75" customHeight="1">
      <c r="A284" s="19"/>
      <c r="B284" s="19"/>
      <c r="C284" s="19"/>
      <c r="D284" s="19"/>
      <c r="E284" s="19"/>
      <c r="F284" s="19"/>
    </row>
    <row r="285" ht="15.75" customHeight="1">
      <c r="A285" s="19"/>
      <c r="B285" s="19"/>
      <c r="C285" s="19"/>
      <c r="D285" s="19"/>
      <c r="E285" s="19"/>
      <c r="F285" s="19"/>
    </row>
    <row r="286" ht="15.75" customHeight="1">
      <c r="A286" s="19"/>
      <c r="B286" s="19"/>
      <c r="C286" s="19"/>
      <c r="D286" s="19"/>
      <c r="E286" s="19"/>
      <c r="F286" s="19"/>
    </row>
    <row r="287" ht="15.75" customHeight="1">
      <c r="A287" s="19"/>
      <c r="B287" s="19"/>
      <c r="C287" s="19"/>
      <c r="D287" s="19"/>
      <c r="E287" s="19"/>
      <c r="F287" s="19"/>
    </row>
    <row r="288" ht="15.75" customHeight="1">
      <c r="A288" s="19"/>
      <c r="B288" s="19"/>
      <c r="C288" s="19"/>
      <c r="D288" s="19"/>
      <c r="E288" s="19"/>
      <c r="F288" s="19"/>
    </row>
    <row r="289" ht="15.75" customHeight="1">
      <c r="A289" s="19"/>
      <c r="B289" s="19"/>
      <c r="C289" s="19"/>
      <c r="D289" s="19"/>
      <c r="E289" s="19"/>
      <c r="F289" s="19"/>
    </row>
    <row r="290" ht="15.75" customHeight="1">
      <c r="A290" s="19"/>
      <c r="B290" s="19"/>
      <c r="C290" s="19"/>
      <c r="D290" s="19"/>
      <c r="E290" s="19"/>
      <c r="F290" s="19"/>
    </row>
    <row r="291" ht="15.75" customHeight="1">
      <c r="A291" s="19"/>
      <c r="B291" s="19"/>
      <c r="C291" s="19"/>
      <c r="D291" s="19"/>
      <c r="E291" s="19"/>
      <c r="F291" s="19"/>
    </row>
    <row r="292" ht="15.75" customHeight="1">
      <c r="A292" s="19"/>
      <c r="B292" s="19"/>
      <c r="C292" s="19"/>
      <c r="D292" s="19"/>
      <c r="E292" s="19"/>
      <c r="F292" s="19"/>
    </row>
    <row r="293" ht="15.75" customHeight="1">
      <c r="A293" s="19"/>
      <c r="B293" s="19"/>
      <c r="C293" s="19"/>
      <c r="D293" s="19"/>
      <c r="E293" s="19"/>
      <c r="F293" s="19"/>
    </row>
    <row r="294" ht="15.75" customHeight="1">
      <c r="A294" s="19"/>
      <c r="B294" s="19"/>
      <c r="C294" s="19"/>
      <c r="D294" s="19"/>
      <c r="E294" s="19"/>
      <c r="F294" s="19"/>
    </row>
    <row r="295" ht="15.75" customHeight="1">
      <c r="A295" s="19"/>
      <c r="B295" s="19"/>
      <c r="C295" s="19"/>
      <c r="D295" s="19"/>
      <c r="E295" s="19"/>
      <c r="F295" s="19"/>
    </row>
    <row r="296" ht="15.75" customHeight="1">
      <c r="A296" s="19"/>
      <c r="B296" s="19"/>
      <c r="C296" s="19"/>
      <c r="D296" s="19"/>
      <c r="E296" s="19"/>
      <c r="F296" s="19"/>
    </row>
    <row r="297" ht="15.75" customHeight="1">
      <c r="A297" s="19"/>
      <c r="B297" s="19"/>
      <c r="C297" s="19"/>
      <c r="D297" s="19"/>
      <c r="E297" s="19"/>
      <c r="F297" s="19"/>
    </row>
    <row r="298" ht="15.75" customHeight="1">
      <c r="A298" s="19"/>
      <c r="B298" s="19"/>
      <c r="C298" s="19"/>
      <c r="D298" s="19"/>
      <c r="E298" s="19"/>
      <c r="F298" s="19"/>
    </row>
    <row r="299" ht="15.75" customHeight="1">
      <c r="A299" s="19"/>
      <c r="B299" s="19"/>
      <c r="C299" s="19"/>
      <c r="D299" s="19"/>
      <c r="E299" s="19"/>
      <c r="F299" s="19"/>
    </row>
    <row r="300" ht="15.75" customHeight="1">
      <c r="A300" s="19"/>
      <c r="B300" s="19"/>
      <c r="C300" s="19"/>
      <c r="D300" s="19"/>
      <c r="E300" s="19"/>
      <c r="F300" s="19"/>
    </row>
    <row r="301" ht="15.75" customHeight="1">
      <c r="A301" s="19"/>
      <c r="B301" s="19"/>
      <c r="C301" s="19"/>
      <c r="D301" s="19"/>
      <c r="E301" s="19"/>
      <c r="F301" s="19"/>
    </row>
    <row r="302" ht="15.75" customHeight="1">
      <c r="A302" s="19"/>
      <c r="B302" s="19"/>
      <c r="C302" s="19"/>
      <c r="D302" s="19"/>
      <c r="E302" s="19"/>
      <c r="F302" s="19"/>
    </row>
    <row r="303" ht="15.75" customHeight="1">
      <c r="A303" s="19"/>
      <c r="B303" s="19"/>
      <c r="C303" s="19"/>
      <c r="D303" s="19"/>
      <c r="E303" s="19"/>
      <c r="F303" s="19"/>
    </row>
    <row r="304" ht="15.75" customHeight="1">
      <c r="A304" s="19"/>
      <c r="B304" s="19"/>
      <c r="C304" s="19"/>
      <c r="D304" s="19"/>
      <c r="E304" s="19"/>
      <c r="F304" s="19"/>
    </row>
    <row r="305" ht="15.75" customHeight="1">
      <c r="A305" s="19"/>
      <c r="B305" s="19"/>
      <c r="C305" s="19"/>
      <c r="D305" s="19"/>
      <c r="E305" s="19"/>
      <c r="F305" s="19"/>
    </row>
    <row r="306" ht="15.75" customHeight="1">
      <c r="A306" s="19"/>
      <c r="B306" s="19"/>
      <c r="C306" s="19"/>
      <c r="D306" s="19"/>
      <c r="E306" s="19"/>
      <c r="F306" s="19"/>
    </row>
    <row r="307" ht="15.75" customHeight="1">
      <c r="A307" s="19"/>
      <c r="B307" s="19"/>
      <c r="C307" s="19"/>
      <c r="D307" s="19"/>
      <c r="E307" s="19"/>
      <c r="F307" s="19"/>
    </row>
    <row r="308" ht="15.75" customHeight="1">
      <c r="A308" s="19"/>
      <c r="B308" s="19"/>
      <c r="C308" s="19"/>
      <c r="D308" s="19"/>
      <c r="E308" s="19"/>
      <c r="F308" s="19"/>
    </row>
    <row r="309" ht="15.75" customHeight="1">
      <c r="A309" s="19"/>
      <c r="B309" s="19"/>
      <c r="C309" s="19"/>
      <c r="D309" s="19"/>
      <c r="E309" s="19"/>
      <c r="F309" s="19"/>
    </row>
    <row r="310" ht="15.75" customHeight="1">
      <c r="A310" s="19"/>
      <c r="B310" s="19"/>
      <c r="C310" s="19"/>
      <c r="D310" s="19"/>
      <c r="E310" s="19"/>
      <c r="F310" s="19"/>
    </row>
    <row r="311" ht="15.75" customHeight="1">
      <c r="A311" s="19"/>
      <c r="B311" s="19"/>
      <c r="C311" s="19"/>
      <c r="D311" s="19"/>
      <c r="E311" s="19"/>
      <c r="F311" s="19"/>
    </row>
    <row r="312" ht="15.75" customHeight="1">
      <c r="A312" s="19"/>
      <c r="B312" s="19"/>
      <c r="C312" s="19"/>
      <c r="D312" s="19"/>
      <c r="E312" s="19"/>
      <c r="F312" s="19"/>
    </row>
    <row r="313" ht="15.75" customHeight="1">
      <c r="A313" s="19"/>
      <c r="B313" s="19"/>
      <c r="C313" s="19"/>
      <c r="D313" s="19"/>
      <c r="E313" s="19"/>
      <c r="F313" s="19"/>
    </row>
    <row r="314" ht="15.75" customHeight="1">
      <c r="A314" s="19"/>
      <c r="B314" s="19"/>
      <c r="C314" s="19"/>
      <c r="D314" s="19"/>
      <c r="E314" s="19"/>
      <c r="F314" s="19"/>
    </row>
    <row r="315" ht="15.75" customHeight="1">
      <c r="A315" s="19"/>
      <c r="B315" s="19"/>
      <c r="C315" s="19"/>
      <c r="D315" s="19"/>
      <c r="E315" s="19"/>
      <c r="F315" s="19"/>
    </row>
    <row r="316" ht="15.75" customHeight="1">
      <c r="A316" s="19"/>
      <c r="B316" s="19"/>
      <c r="C316" s="19"/>
      <c r="D316" s="19"/>
      <c r="E316" s="19"/>
      <c r="F316" s="19"/>
    </row>
    <row r="317" ht="15.75" customHeight="1">
      <c r="A317" s="19"/>
      <c r="B317" s="19"/>
      <c r="C317" s="19"/>
      <c r="D317" s="19"/>
      <c r="E317" s="19"/>
      <c r="F317" s="19"/>
    </row>
    <row r="318" ht="15.75" customHeight="1">
      <c r="A318" s="19"/>
      <c r="B318" s="19"/>
      <c r="C318" s="19"/>
      <c r="D318" s="19"/>
      <c r="E318" s="19"/>
      <c r="F318" s="19"/>
    </row>
    <row r="319" ht="15.75" customHeight="1">
      <c r="A319" s="19"/>
      <c r="B319" s="19"/>
      <c r="C319" s="19"/>
      <c r="D319" s="19"/>
      <c r="E319" s="19"/>
      <c r="F319" s="19"/>
    </row>
    <row r="320" ht="15.75" customHeight="1">
      <c r="A320" s="19"/>
      <c r="B320" s="19"/>
      <c r="C320" s="19"/>
      <c r="D320" s="19"/>
      <c r="E320" s="19"/>
      <c r="F320" s="19"/>
    </row>
    <row r="321" ht="15.75" customHeight="1">
      <c r="A321" s="19"/>
      <c r="B321" s="19"/>
      <c r="C321" s="19"/>
      <c r="D321" s="19"/>
      <c r="E321" s="19"/>
      <c r="F321" s="19"/>
    </row>
    <row r="322" ht="15.75" customHeight="1">
      <c r="A322" s="19"/>
      <c r="B322" s="19"/>
      <c r="C322" s="19"/>
      <c r="D322" s="19"/>
      <c r="E322" s="19"/>
      <c r="F322" s="19"/>
    </row>
    <row r="323" ht="15.75" customHeight="1">
      <c r="A323" s="19"/>
      <c r="B323" s="19"/>
      <c r="C323" s="19"/>
      <c r="D323" s="19"/>
      <c r="E323" s="19"/>
      <c r="F323" s="19"/>
    </row>
    <row r="324" ht="15.75" customHeight="1">
      <c r="A324" s="19"/>
      <c r="B324" s="19"/>
      <c r="C324" s="19"/>
      <c r="D324" s="19"/>
      <c r="E324" s="19"/>
      <c r="F324" s="19"/>
    </row>
    <row r="325" ht="15.75" customHeight="1">
      <c r="A325" s="19"/>
      <c r="B325" s="19"/>
      <c r="C325" s="19"/>
      <c r="D325" s="19"/>
      <c r="E325" s="19"/>
      <c r="F325" s="19"/>
    </row>
    <row r="326" ht="15.75" customHeight="1">
      <c r="A326" s="19"/>
      <c r="B326" s="19"/>
      <c r="C326" s="19"/>
      <c r="D326" s="19"/>
      <c r="E326" s="19"/>
      <c r="F326" s="19"/>
    </row>
    <row r="327" ht="15.75" customHeight="1">
      <c r="A327" s="19"/>
      <c r="B327" s="19"/>
      <c r="C327" s="19"/>
      <c r="D327" s="19"/>
      <c r="E327" s="19"/>
      <c r="F327" s="19"/>
    </row>
    <row r="328" ht="15.75" customHeight="1">
      <c r="A328" s="19"/>
      <c r="B328" s="19"/>
      <c r="C328" s="19"/>
      <c r="D328" s="19"/>
      <c r="E328" s="19"/>
      <c r="F328" s="19"/>
    </row>
    <row r="329" ht="15.75" customHeight="1">
      <c r="A329" s="19"/>
      <c r="B329" s="19"/>
      <c r="C329" s="19"/>
      <c r="D329" s="19"/>
      <c r="E329" s="19"/>
      <c r="F329" s="19"/>
    </row>
    <row r="330" ht="15.75" customHeight="1">
      <c r="A330" s="19"/>
      <c r="B330" s="19"/>
      <c r="C330" s="19"/>
      <c r="D330" s="19"/>
      <c r="E330" s="19"/>
      <c r="F330" s="19"/>
    </row>
    <row r="331" ht="15.75" customHeight="1">
      <c r="A331" s="19"/>
      <c r="B331" s="19"/>
      <c r="C331" s="19"/>
      <c r="D331" s="19"/>
      <c r="E331" s="19"/>
      <c r="F331" s="19"/>
    </row>
    <row r="332" ht="15.75" customHeight="1">
      <c r="A332" s="19"/>
      <c r="B332" s="19"/>
      <c r="C332" s="19"/>
      <c r="D332" s="19"/>
      <c r="E332" s="19"/>
      <c r="F332" s="19"/>
    </row>
    <row r="333" ht="15.75" customHeight="1">
      <c r="A333" s="19"/>
      <c r="B333" s="19"/>
      <c r="C333" s="19"/>
      <c r="D333" s="19"/>
      <c r="E333" s="19"/>
      <c r="F333" s="19"/>
    </row>
    <row r="334" ht="15.75" customHeight="1">
      <c r="A334" s="19"/>
      <c r="B334" s="19"/>
      <c r="C334" s="19"/>
      <c r="D334" s="19"/>
      <c r="E334" s="19"/>
      <c r="F334" s="19"/>
    </row>
    <row r="335" ht="15.75" customHeight="1">
      <c r="A335" s="19"/>
      <c r="B335" s="19"/>
      <c r="C335" s="19"/>
      <c r="D335" s="19"/>
      <c r="E335" s="19"/>
      <c r="F335" s="19"/>
    </row>
    <row r="336" ht="15.75" customHeight="1">
      <c r="A336" s="19"/>
      <c r="B336" s="19"/>
      <c r="C336" s="19"/>
      <c r="D336" s="19"/>
      <c r="E336" s="19"/>
      <c r="F336" s="19"/>
    </row>
    <row r="337" ht="15.75" customHeight="1">
      <c r="A337" s="19"/>
      <c r="B337" s="19"/>
      <c r="C337" s="19"/>
      <c r="D337" s="19"/>
      <c r="E337" s="19"/>
      <c r="F337" s="19"/>
    </row>
    <row r="338" ht="15.75" customHeight="1">
      <c r="A338" s="19"/>
      <c r="B338" s="19"/>
      <c r="C338" s="19"/>
      <c r="D338" s="19"/>
      <c r="E338" s="19"/>
      <c r="F338" s="19"/>
    </row>
    <row r="339" ht="15.75" customHeight="1">
      <c r="A339" s="19"/>
      <c r="B339" s="19"/>
      <c r="C339" s="19"/>
      <c r="D339" s="19"/>
      <c r="E339" s="19"/>
      <c r="F339" s="19"/>
    </row>
    <row r="340" ht="15.75" customHeight="1">
      <c r="A340" s="19"/>
      <c r="B340" s="19"/>
      <c r="C340" s="19"/>
      <c r="D340" s="19"/>
      <c r="E340" s="19"/>
      <c r="F340" s="19"/>
    </row>
    <row r="341" ht="15.75" customHeight="1">
      <c r="A341" s="19"/>
      <c r="B341" s="19"/>
      <c r="C341" s="19"/>
      <c r="D341" s="19"/>
      <c r="E341" s="19"/>
      <c r="F341" s="19"/>
    </row>
    <row r="342" ht="15.75" customHeight="1">
      <c r="A342" s="19"/>
      <c r="B342" s="19"/>
      <c r="C342" s="19"/>
      <c r="D342" s="19"/>
      <c r="E342" s="19"/>
      <c r="F342" s="19"/>
    </row>
    <row r="343" ht="15.75" customHeight="1">
      <c r="A343" s="19"/>
      <c r="B343" s="19"/>
      <c r="C343" s="19"/>
      <c r="D343" s="19"/>
      <c r="E343" s="19"/>
      <c r="F343" s="19"/>
    </row>
    <row r="344" ht="15.75" customHeight="1">
      <c r="A344" s="19"/>
      <c r="B344" s="19"/>
      <c r="C344" s="19"/>
      <c r="D344" s="19"/>
      <c r="E344" s="19"/>
      <c r="F344" s="19"/>
    </row>
    <row r="345" ht="15.75" customHeight="1">
      <c r="A345" s="19"/>
      <c r="B345" s="19"/>
      <c r="C345" s="19"/>
      <c r="D345" s="19"/>
      <c r="E345" s="19"/>
      <c r="F345" s="19"/>
    </row>
    <row r="346" ht="15.75" customHeight="1">
      <c r="A346" s="19"/>
      <c r="B346" s="19"/>
      <c r="C346" s="19"/>
      <c r="D346" s="19"/>
      <c r="E346" s="19"/>
      <c r="F346" s="19"/>
    </row>
    <row r="347" ht="15.75" customHeight="1">
      <c r="A347" s="19"/>
      <c r="B347" s="19"/>
      <c r="C347" s="19"/>
      <c r="D347" s="19"/>
      <c r="E347" s="19"/>
      <c r="F347" s="19"/>
    </row>
    <row r="348" ht="15.75" customHeight="1">
      <c r="A348" s="19"/>
      <c r="B348" s="19"/>
      <c r="C348" s="19"/>
      <c r="D348" s="19"/>
      <c r="E348" s="19"/>
      <c r="F348" s="19"/>
    </row>
    <row r="349" ht="15.75" customHeight="1">
      <c r="A349" s="19"/>
      <c r="B349" s="19"/>
      <c r="C349" s="19"/>
      <c r="D349" s="19"/>
      <c r="E349" s="19"/>
      <c r="F349" s="19"/>
    </row>
    <row r="350" ht="15.75" customHeight="1">
      <c r="A350" s="19"/>
      <c r="B350" s="19"/>
      <c r="C350" s="19"/>
      <c r="D350" s="19"/>
      <c r="E350" s="19"/>
      <c r="F350" s="19"/>
    </row>
    <row r="351" ht="15.75" customHeight="1">
      <c r="A351" s="19"/>
      <c r="B351" s="19"/>
      <c r="C351" s="19"/>
      <c r="D351" s="19"/>
      <c r="E351" s="19"/>
      <c r="F351" s="19"/>
    </row>
    <row r="352" ht="15.75" customHeight="1">
      <c r="A352" s="19"/>
      <c r="B352" s="19"/>
      <c r="C352" s="19"/>
      <c r="D352" s="19"/>
      <c r="E352" s="19"/>
      <c r="F352" s="19"/>
    </row>
    <row r="353" ht="15.75" customHeight="1">
      <c r="A353" s="19"/>
      <c r="B353" s="19"/>
      <c r="C353" s="19"/>
      <c r="D353" s="19"/>
      <c r="E353" s="19"/>
      <c r="F353" s="19"/>
    </row>
    <row r="354" ht="15.75" customHeight="1">
      <c r="A354" s="19"/>
      <c r="B354" s="19"/>
      <c r="C354" s="19"/>
      <c r="D354" s="19"/>
      <c r="E354" s="19"/>
      <c r="F354" s="19"/>
    </row>
    <row r="355" ht="15.75" customHeight="1">
      <c r="A355" s="19"/>
      <c r="B355" s="19"/>
      <c r="C355" s="19"/>
      <c r="D355" s="19"/>
      <c r="E355" s="19"/>
      <c r="F355" s="19"/>
    </row>
    <row r="356" ht="15.75" customHeight="1">
      <c r="A356" s="19"/>
      <c r="B356" s="19"/>
      <c r="C356" s="19"/>
      <c r="D356" s="19"/>
      <c r="E356" s="19"/>
      <c r="F356" s="19"/>
    </row>
    <row r="357" ht="15.75" customHeight="1">
      <c r="A357" s="19"/>
      <c r="B357" s="19"/>
      <c r="C357" s="19"/>
      <c r="D357" s="19"/>
      <c r="E357" s="19"/>
      <c r="F357" s="19"/>
    </row>
    <row r="358" ht="15.75" customHeight="1">
      <c r="A358" s="19"/>
      <c r="B358" s="19"/>
      <c r="C358" s="19"/>
      <c r="D358" s="19"/>
      <c r="E358" s="19"/>
      <c r="F358" s="19"/>
    </row>
    <row r="359" ht="15.75" customHeight="1">
      <c r="A359" s="19"/>
      <c r="B359" s="19"/>
      <c r="C359" s="19"/>
      <c r="D359" s="19"/>
      <c r="E359" s="19"/>
      <c r="F359" s="19"/>
    </row>
    <row r="360" ht="15.75" customHeight="1">
      <c r="A360" s="19"/>
      <c r="B360" s="19"/>
      <c r="C360" s="19"/>
      <c r="D360" s="19"/>
      <c r="E360" s="19"/>
      <c r="F360" s="19"/>
    </row>
    <row r="361" ht="15.75" customHeight="1">
      <c r="A361" s="19"/>
      <c r="B361" s="19"/>
      <c r="C361" s="19"/>
      <c r="D361" s="19"/>
      <c r="E361" s="19"/>
      <c r="F361" s="19"/>
    </row>
    <row r="362" ht="15.75" customHeight="1">
      <c r="A362" s="19"/>
      <c r="B362" s="19"/>
      <c r="C362" s="19"/>
      <c r="D362" s="19"/>
      <c r="E362" s="19"/>
      <c r="F362" s="19"/>
    </row>
    <row r="363" ht="15.75" customHeight="1">
      <c r="A363" s="19"/>
      <c r="B363" s="19"/>
      <c r="C363" s="19"/>
      <c r="D363" s="19"/>
      <c r="E363" s="19"/>
      <c r="F363" s="19"/>
    </row>
    <row r="364" ht="15.75" customHeight="1">
      <c r="A364" s="19"/>
      <c r="B364" s="19"/>
      <c r="C364" s="19"/>
      <c r="D364" s="19"/>
      <c r="E364" s="19"/>
      <c r="F364" s="19"/>
    </row>
    <row r="365" ht="15.75" customHeight="1">
      <c r="A365" s="19"/>
      <c r="B365" s="19"/>
      <c r="C365" s="19"/>
      <c r="D365" s="19"/>
      <c r="E365" s="19"/>
      <c r="F365" s="19"/>
    </row>
    <row r="366" ht="15.75" customHeight="1">
      <c r="A366" s="19"/>
      <c r="B366" s="19"/>
      <c r="C366" s="19"/>
      <c r="D366" s="19"/>
      <c r="E366" s="19"/>
      <c r="F366" s="19"/>
    </row>
    <row r="367" ht="15.75" customHeight="1">
      <c r="A367" s="19"/>
      <c r="B367" s="19"/>
      <c r="C367" s="19"/>
      <c r="D367" s="19"/>
      <c r="E367" s="19"/>
      <c r="F367" s="19"/>
    </row>
    <row r="368" ht="15.75" customHeight="1">
      <c r="A368" s="19"/>
      <c r="B368" s="19"/>
      <c r="C368" s="19"/>
      <c r="D368" s="19"/>
      <c r="E368" s="19"/>
      <c r="F368" s="19"/>
    </row>
    <row r="369" ht="15.75" customHeight="1">
      <c r="A369" s="19"/>
      <c r="B369" s="19"/>
      <c r="C369" s="19"/>
      <c r="D369" s="19"/>
      <c r="E369" s="19"/>
      <c r="F369" s="19"/>
    </row>
    <row r="370" ht="15.75" customHeight="1">
      <c r="A370" s="19"/>
      <c r="B370" s="19"/>
      <c r="C370" s="19"/>
      <c r="D370" s="19"/>
      <c r="E370" s="19"/>
      <c r="F370" s="19"/>
    </row>
    <row r="371" ht="15.75" customHeight="1">
      <c r="A371" s="19"/>
      <c r="B371" s="19"/>
      <c r="C371" s="19"/>
      <c r="D371" s="19"/>
      <c r="E371" s="19"/>
      <c r="F371" s="19"/>
    </row>
    <row r="372" ht="15.75" customHeight="1">
      <c r="A372" s="19"/>
      <c r="B372" s="19"/>
      <c r="C372" s="19"/>
      <c r="D372" s="19"/>
      <c r="E372" s="19"/>
      <c r="F372" s="19"/>
    </row>
    <row r="373" ht="15.75" customHeight="1">
      <c r="A373" s="19"/>
      <c r="B373" s="19"/>
      <c r="C373" s="19"/>
      <c r="D373" s="19"/>
      <c r="E373" s="19"/>
      <c r="F373" s="19"/>
    </row>
    <row r="374" ht="15.75" customHeight="1">
      <c r="A374" s="19"/>
      <c r="B374" s="19"/>
      <c r="C374" s="19"/>
      <c r="D374" s="19"/>
      <c r="E374" s="19"/>
      <c r="F374" s="19"/>
    </row>
    <row r="375" ht="15.75" customHeight="1">
      <c r="A375" s="19"/>
      <c r="B375" s="19"/>
      <c r="C375" s="19"/>
      <c r="D375" s="19"/>
      <c r="E375" s="19"/>
      <c r="F375" s="19"/>
    </row>
    <row r="376" ht="15.75" customHeight="1">
      <c r="A376" s="19"/>
      <c r="B376" s="19"/>
      <c r="C376" s="19"/>
      <c r="D376" s="19"/>
      <c r="E376" s="19"/>
      <c r="F376" s="19"/>
    </row>
    <row r="377" ht="15.75" customHeight="1">
      <c r="A377" s="19"/>
      <c r="B377" s="19"/>
      <c r="C377" s="19"/>
      <c r="D377" s="19"/>
      <c r="E377" s="19"/>
      <c r="F377" s="19"/>
    </row>
    <row r="378" ht="15.75" customHeight="1">
      <c r="A378" s="19"/>
      <c r="B378" s="19"/>
      <c r="C378" s="19"/>
      <c r="D378" s="19"/>
      <c r="E378" s="19"/>
      <c r="F378" s="19"/>
    </row>
    <row r="379" ht="15.75" customHeight="1">
      <c r="A379" s="19"/>
      <c r="B379" s="19"/>
      <c r="C379" s="19"/>
      <c r="D379" s="19"/>
      <c r="E379" s="19"/>
      <c r="F379" s="19"/>
    </row>
    <row r="380" ht="15.75" customHeight="1">
      <c r="A380" s="19"/>
      <c r="B380" s="19"/>
      <c r="C380" s="19"/>
      <c r="D380" s="19"/>
      <c r="E380" s="19"/>
      <c r="F380" s="19"/>
    </row>
    <row r="381" ht="15.75" customHeight="1">
      <c r="A381" s="19"/>
      <c r="B381" s="19"/>
      <c r="C381" s="19"/>
      <c r="D381" s="19"/>
      <c r="E381" s="19"/>
      <c r="F381" s="19"/>
    </row>
    <row r="382" ht="15.75" customHeight="1">
      <c r="A382" s="19"/>
      <c r="B382" s="19"/>
      <c r="C382" s="19"/>
      <c r="D382" s="19"/>
      <c r="E382" s="19"/>
      <c r="F382" s="19"/>
    </row>
    <row r="383" ht="15.75" customHeight="1">
      <c r="A383" s="19"/>
      <c r="B383" s="19"/>
      <c r="C383" s="19"/>
      <c r="D383" s="19"/>
      <c r="E383" s="19"/>
      <c r="F383" s="19"/>
    </row>
    <row r="384" ht="15.75" customHeight="1">
      <c r="A384" s="19"/>
      <c r="B384" s="19"/>
      <c r="C384" s="19"/>
      <c r="D384" s="19"/>
      <c r="E384" s="19"/>
      <c r="F384" s="19"/>
    </row>
    <row r="385" ht="15.75" customHeight="1">
      <c r="A385" s="19"/>
      <c r="B385" s="19"/>
      <c r="C385" s="19"/>
      <c r="D385" s="19"/>
      <c r="E385" s="19"/>
      <c r="F385" s="19"/>
    </row>
    <row r="386" ht="15.75" customHeight="1">
      <c r="A386" s="19"/>
      <c r="B386" s="19"/>
      <c r="C386" s="19"/>
      <c r="D386" s="19"/>
      <c r="E386" s="19"/>
      <c r="F386" s="19"/>
    </row>
    <row r="387" ht="15.75" customHeight="1">
      <c r="A387" s="19"/>
      <c r="B387" s="19"/>
      <c r="C387" s="19"/>
      <c r="D387" s="19"/>
      <c r="E387" s="19"/>
      <c r="F387" s="19"/>
    </row>
    <row r="388" ht="15.75" customHeight="1">
      <c r="A388" s="19"/>
      <c r="B388" s="19"/>
      <c r="C388" s="19"/>
      <c r="D388" s="19"/>
      <c r="E388" s="19"/>
      <c r="F388" s="19"/>
    </row>
    <row r="389" ht="15.75" customHeight="1">
      <c r="A389" s="19"/>
      <c r="B389" s="19"/>
      <c r="C389" s="19"/>
      <c r="D389" s="19"/>
      <c r="E389" s="19"/>
      <c r="F389" s="19"/>
    </row>
    <row r="390" ht="15.75" customHeight="1">
      <c r="A390" s="19"/>
      <c r="B390" s="19"/>
      <c r="C390" s="19"/>
      <c r="D390" s="19"/>
      <c r="E390" s="19"/>
      <c r="F390" s="19"/>
    </row>
    <row r="391" ht="15.75" customHeight="1">
      <c r="A391" s="19"/>
      <c r="B391" s="19"/>
      <c r="C391" s="19"/>
      <c r="D391" s="19"/>
      <c r="E391" s="19"/>
      <c r="F391" s="19"/>
    </row>
    <row r="392" ht="15.75" customHeight="1">
      <c r="A392" s="19"/>
      <c r="B392" s="19"/>
      <c r="C392" s="19"/>
      <c r="D392" s="19"/>
      <c r="E392" s="19"/>
      <c r="F392" s="19"/>
    </row>
    <row r="393" ht="15.75" customHeight="1">
      <c r="A393" s="19"/>
      <c r="B393" s="19"/>
      <c r="C393" s="19"/>
      <c r="D393" s="19"/>
      <c r="E393" s="19"/>
      <c r="F393" s="19"/>
    </row>
    <row r="394" ht="15.75" customHeight="1">
      <c r="A394" s="19"/>
      <c r="B394" s="19"/>
      <c r="C394" s="19"/>
      <c r="D394" s="19"/>
      <c r="E394" s="19"/>
      <c r="F394" s="19"/>
    </row>
    <row r="395" ht="15.75" customHeight="1">
      <c r="A395" s="19"/>
      <c r="B395" s="19"/>
      <c r="C395" s="19"/>
      <c r="D395" s="19"/>
      <c r="E395" s="19"/>
      <c r="F395" s="19"/>
    </row>
    <row r="396" ht="15.75" customHeight="1">
      <c r="A396" s="19"/>
      <c r="B396" s="19"/>
      <c r="C396" s="19"/>
      <c r="D396" s="19"/>
      <c r="E396" s="19"/>
      <c r="F396" s="19"/>
    </row>
    <row r="397" ht="15.75" customHeight="1">
      <c r="A397" s="19"/>
      <c r="B397" s="19"/>
      <c r="C397" s="19"/>
      <c r="D397" s="19"/>
      <c r="E397" s="19"/>
      <c r="F397" s="19"/>
    </row>
    <row r="398" ht="15.75" customHeight="1">
      <c r="A398" s="19"/>
      <c r="B398" s="19"/>
      <c r="C398" s="19"/>
      <c r="D398" s="19"/>
      <c r="E398" s="19"/>
      <c r="F398" s="19"/>
    </row>
    <row r="399" ht="15.75" customHeight="1">
      <c r="A399" s="19"/>
      <c r="B399" s="19"/>
      <c r="C399" s="19"/>
      <c r="D399" s="19"/>
      <c r="E399" s="19"/>
      <c r="F399" s="19"/>
    </row>
    <row r="400" ht="15.75" customHeight="1">
      <c r="A400" s="19"/>
      <c r="B400" s="19"/>
      <c r="C400" s="19"/>
      <c r="D400" s="19"/>
      <c r="E400" s="19"/>
      <c r="F400" s="19"/>
    </row>
    <row r="401" ht="15.75" customHeight="1">
      <c r="A401" s="19"/>
      <c r="B401" s="19"/>
      <c r="C401" s="19"/>
      <c r="D401" s="19"/>
      <c r="E401" s="19"/>
      <c r="F401" s="19"/>
    </row>
    <row r="402" ht="15.75" customHeight="1">
      <c r="A402" s="19"/>
      <c r="B402" s="19"/>
      <c r="C402" s="19"/>
      <c r="D402" s="19"/>
      <c r="E402" s="19"/>
      <c r="F402" s="19"/>
    </row>
    <row r="403" ht="15.75" customHeight="1">
      <c r="A403" s="19"/>
      <c r="B403" s="19"/>
      <c r="C403" s="19"/>
      <c r="D403" s="19"/>
      <c r="E403" s="19"/>
      <c r="F403" s="19"/>
    </row>
    <row r="404" ht="15.75" customHeight="1">
      <c r="A404" s="19"/>
      <c r="B404" s="19"/>
      <c r="C404" s="19"/>
      <c r="D404" s="19"/>
      <c r="E404" s="19"/>
      <c r="F404" s="19"/>
    </row>
    <row r="405" ht="15.75" customHeight="1">
      <c r="A405" s="19"/>
      <c r="B405" s="19"/>
      <c r="C405" s="19"/>
      <c r="D405" s="19"/>
      <c r="E405" s="19"/>
      <c r="F405" s="19"/>
    </row>
    <row r="406" ht="15.75" customHeight="1">
      <c r="A406" s="19"/>
      <c r="B406" s="19"/>
      <c r="C406" s="19"/>
      <c r="D406" s="19"/>
      <c r="E406" s="19"/>
      <c r="F406" s="19"/>
    </row>
    <row r="407" ht="15.75" customHeight="1">
      <c r="A407" s="19"/>
      <c r="B407" s="19"/>
      <c r="C407" s="19"/>
      <c r="D407" s="19"/>
      <c r="E407" s="19"/>
      <c r="F407" s="19"/>
    </row>
    <row r="408" ht="15.75" customHeight="1">
      <c r="A408" s="19"/>
      <c r="B408" s="19"/>
      <c r="C408" s="19"/>
      <c r="D408" s="19"/>
      <c r="E408" s="19"/>
      <c r="F408" s="19"/>
    </row>
    <row r="409" ht="15.75" customHeight="1">
      <c r="A409" s="19"/>
      <c r="B409" s="19"/>
      <c r="C409" s="19"/>
      <c r="D409" s="19"/>
      <c r="E409" s="19"/>
      <c r="F409" s="19"/>
    </row>
    <row r="410" ht="15.75" customHeight="1">
      <c r="A410" s="19"/>
      <c r="B410" s="19"/>
      <c r="C410" s="19"/>
      <c r="D410" s="19"/>
      <c r="E410" s="19"/>
      <c r="F410" s="19"/>
    </row>
    <row r="411" ht="15.75" customHeight="1">
      <c r="A411" s="19"/>
      <c r="B411" s="19"/>
      <c r="C411" s="19"/>
      <c r="D411" s="19"/>
      <c r="E411" s="19"/>
      <c r="F411" s="19"/>
    </row>
    <row r="412" ht="15.75" customHeight="1">
      <c r="A412" s="19"/>
      <c r="B412" s="19"/>
      <c r="C412" s="19"/>
      <c r="D412" s="19"/>
      <c r="E412" s="19"/>
      <c r="F412" s="19"/>
    </row>
    <row r="413" ht="15.75" customHeight="1">
      <c r="A413" s="19"/>
      <c r="B413" s="19"/>
      <c r="C413" s="19"/>
      <c r="D413" s="19"/>
      <c r="E413" s="19"/>
      <c r="F413" s="19"/>
    </row>
    <row r="414" ht="15.75" customHeight="1">
      <c r="A414" s="19"/>
      <c r="B414" s="19"/>
      <c r="C414" s="19"/>
      <c r="D414" s="19"/>
      <c r="E414" s="19"/>
      <c r="F414" s="19"/>
    </row>
    <row r="415" ht="15.75" customHeight="1">
      <c r="A415" s="19"/>
      <c r="B415" s="19"/>
      <c r="C415" s="19"/>
      <c r="D415" s="19"/>
      <c r="E415" s="19"/>
      <c r="F415" s="19"/>
    </row>
    <row r="416" ht="15.75" customHeight="1">
      <c r="A416" s="19"/>
      <c r="B416" s="19"/>
      <c r="C416" s="19"/>
      <c r="D416" s="19"/>
      <c r="E416" s="19"/>
      <c r="F416" s="19"/>
    </row>
    <row r="417" ht="15.75" customHeight="1">
      <c r="A417" s="19"/>
      <c r="B417" s="19"/>
      <c r="C417" s="19"/>
      <c r="D417" s="19"/>
      <c r="E417" s="19"/>
      <c r="F417" s="19"/>
    </row>
    <row r="418" ht="15.75" customHeight="1">
      <c r="A418" s="19"/>
      <c r="B418" s="19"/>
      <c r="C418" s="19"/>
      <c r="D418" s="19"/>
      <c r="E418" s="19"/>
      <c r="F418" s="19"/>
    </row>
    <row r="419" ht="15.75" customHeight="1">
      <c r="A419" s="19"/>
      <c r="B419" s="19"/>
      <c r="C419" s="19"/>
      <c r="D419" s="19"/>
      <c r="E419" s="19"/>
      <c r="F419" s="19"/>
    </row>
    <row r="420" ht="15.75" customHeight="1">
      <c r="A420" s="19"/>
      <c r="B420" s="19"/>
      <c r="C420" s="19"/>
      <c r="D420" s="19"/>
      <c r="E420" s="19"/>
      <c r="F420" s="19"/>
    </row>
    <row r="421" ht="15.75" customHeight="1">
      <c r="A421" s="19"/>
      <c r="B421" s="19"/>
      <c r="C421" s="19"/>
      <c r="D421" s="19"/>
      <c r="E421" s="19"/>
      <c r="F421" s="19"/>
    </row>
    <row r="422" ht="15.75" customHeight="1">
      <c r="A422" s="19"/>
      <c r="B422" s="19"/>
      <c r="C422" s="19"/>
      <c r="D422" s="19"/>
      <c r="E422" s="19"/>
      <c r="F422" s="19"/>
    </row>
    <row r="423" ht="15.75" customHeight="1">
      <c r="A423" s="19"/>
      <c r="B423" s="19"/>
      <c r="C423" s="19"/>
      <c r="D423" s="19"/>
      <c r="E423" s="19"/>
      <c r="F423" s="19"/>
    </row>
    <row r="424" ht="15.75" customHeight="1">
      <c r="A424" s="19"/>
      <c r="B424" s="19"/>
      <c r="C424" s="19"/>
      <c r="D424" s="19"/>
      <c r="E424" s="19"/>
      <c r="F424" s="19"/>
    </row>
    <row r="425" ht="15.75" customHeight="1">
      <c r="A425" s="19"/>
      <c r="B425" s="19"/>
      <c r="C425" s="19"/>
      <c r="D425" s="19"/>
      <c r="E425" s="19"/>
      <c r="F425" s="19"/>
    </row>
    <row r="426" ht="15.75" customHeight="1">
      <c r="A426" s="19"/>
      <c r="B426" s="19"/>
      <c r="C426" s="19"/>
      <c r="D426" s="19"/>
      <c r="E426" s="19"/>
      <c r="F426" s="19"/>
    </row>
    <row r="427" ht="15.75" customHeight="1">
      <c r="A427" s="19"/>
      <c r="B427" s="19"/>
      <c r="C427" s="19"/>
      <c r="D427" s="19"/>
      <c r="E427" s="19"/>
      <c r="F427" s="19"/>
    </row>
    <row r="428" ht="15.75" customHeight="1">
      <c r="A428" s="19"/>
      <c r="B428" s="19"/>
      <c r="C428" s="19"/>
      <c r="D428" s="19"/>
      <c r="E428" s="19"/>
      <c r="F428" s="19"/>
    </row>
    <row r="429" ht="15.75" customHeight="1">
      <c r="A429" s="19"/>
      <c r="B429" s="19"/>
      <c r="C429" s="19"/>
      <c r="D429" s="19"/>
      <c r="E429" s="19"/>
      <c r="F429" s="19"/>
    </row>
    <row r="430" ht="15.75" customHeight="1">
      <c r="A430" s="19"/>
      <c r="B430" s="19"/>
      <c r="C430" s="19"/>
      <c r="D430" s="19"/>
      <c r="E430" s="19"/>
      <c r="F430" s="19"/>
    </row>
    <row r="431" ht="15.75" customHeight="1">
      <c r="A431" s="19"/>
      <c r="B431" s="19"/>
      <c r="C431" s="19"/>
      <c r="D431" s="19"/>
      <c r="E431" s="19"/>
      <c r="F431" s="19"/>
    </row>
    <row r="432" ht="15.75" customHeight="1">
      <c r="A432" s="19"/>
      <c r="B432" s="19"/>
      <c r="C432" s="19"/>
      <c r="D432" s="19"/>
      <c r="E432" s="19"/>
      <c r="F432" s="19"/>
    </row>
    <row r="433" ht="15.75" customHeight="1">
      <c r="A433" s="19"/>
      <c r="B433" s="19"/>
      <c r="C433" s="19"/>
      <c r="D433" s="19"/>
      <c r="E433" s="19"/>
      <c r="F433" s="19"/>
    </row>
    <row r="434" ht="15.75" customHeight="1">
      <c r="A434" s="19"/>
      <c r="B434" s="19"/>
      <c r="C434" s="19"/>
      <c r="D434" s="19"/>
      <c r="E434" s="19"/>
      <c r="F434" s="19"/>
    </row>
    <row r="435" ht="15.75" customHeight="1">
      <c r="A435" s="19"/>
      <c r="B435" s="19"/>
      <c r="C435" s="19"/>
      <c r="D435" s="19"/>
      <c r="E435" s="19"/>
      <c r="F435" s="19"/>
    </row>
    <row r="436" ht="15.75" customHeight="1">
      <c r="A436" s="19"/>
      <c r="B436" s="19"/>
      <c r="C436" s="19"/>
      <c r="D436" s="19"/>
      <c r="E436" s="19"/>
      <c r="F436" s="19"/>
    </row>
    <row r="437" ht="15.75" customHeight="1">
      <c r="A437" s="19"/>
      <c r="B437" s="19"/>
      <c r="C437" s="19"/>
      <c r="D437" s="19"/>
      <c r="E437" s="19"/>
      <c r="F437" s="19"/>
    </row>
    <row r="438" ht="15.75" customHeight="1">
      <c r="A438" s="19"/>
      <c r="B438" s="19"/>
      <c r="C438" s="19"/>
      <c r="D438" s="19"/>
      <c r="E438" s="19"/>
      <c r="F438" s="19"/>
    </row>
    <row r="439" ht="15.75" customHeight="1">
      <c r="A439" s="19"/>
      <c r="B439" s="19"/>
      <c r="C439" s="19"/>
      <c r="D439" s="19"/>
      <c r="E439" s="19"/>
      <c r="F439" s="19"/>
    </row>
    <row r="440" ht="15.75" customHeight="1">
      <c r="A440" s="19"/>
      <c r="B440" s="19"/>
      <c r="C440" s="19"/>
      <c r="D440" s="19"/>
      <c r="E440" s="19"/>
      <c r="F440" s="19"/>
    </row>
    <row r="441" ht="15.75" customHeight="1">
      <c r="A441" s="19"/>
      <c r="B441" s="19"/>
      <c r="C441" s="19"/>
      <c r="D441" s="19"/>
      <c r="E441" s="19"/>
      <c r="F441" s="19"/>
    </row>
    <row r="442" ht="15.75" customHeight="1">
      <c r="A442" s="19"/>
      <c r="B442" s="19"/>
      <c r="C442" s="19"/>
      <c r="D442" s="19"/>
      <c r="E442" s="19"/>
      <c r="F442" s="19"/>
    </row>
    <row r="443" ht="15.75" customHeight="1">
      <c r="A443" s="19"/>
      <c r="B443" s="19"/>
      <c r="C443" s="19"/>
      <c r="D443" s="19"/>
      <c r="E443" s="19"/>
      <c r="F443" s="19"/>
    </row>
    <row r="444" ht="15.75" customHeight="1">
      <c r="A444" s="19"/>
      <c r="B444" s="19"/>
      <c r="C444" s="19"/>
      <c r="D444" s="19"/>
      <c r="E444" s="19"/>
      <c r="F444" s="19"/>
    </row>
    <row r="445" ht="15.75" customHeight="1">
      <c r="A445" s="19"/>
      <c r="B445" s="19"/>
      <c r="C445" s="19"/>
      <c r="D445" s="19"/>
      <c r="E445" s="19"/>
      <c r="F445" s="19"/>
    </row>
    <row r="446" ht="15.75" customHeight="1">
      <c r="A446" s="19"/>
      <c r="B446" s="19"/>
      <c r="C446" s="19"/>
      <c r="D446" s="19"/>
      <c r="E446" s="19"/>
      <c r="F446" s="19"/>
    </row>
    <row r="447" ht="15.75" customHeight="1">
      <c r="A447" s="19"/>
      <c r="B447" s="19"/>
      <c r="C447" s="19"/>
      <c r="D447" s="19"/>
      <c r="E447" s="19"/>
      <c r="F447" s="19"/>
    </row>
    <row r="448" ht="15.75" customHeight="1">
      <c r="A448" s="19"/>
      <c r="B448" s="19"/>
      <c r="C448" s="19"/>
      <c r="D448" s="19"/>
      <c r="E448" s="19"/>
      <c r="F448" s="19"/>
    </row>
    <row r="449" ht="15.75" customHeight="1">
      <c r="A449" s="19"/>
      <c r="B449" s="19"/>
      <c r="C449" s="19"/>
      <c r="D449" s="19"/>
      <c r="E449" s="19"/>
      <c r="F449" s="19"/>
    </row>
    <row r="450" ht="15.75" customHeight="1">
      <c r="A450" s="19"/>
      <c r="B450" s="19"/>
      <c r="C450" s="19"/>
      <c r="D450" s="19"/>
      <c r="E450" s="19"/>
      <c r="F450" s="19"/>
    </row>
    <row r="451" ht="15.75" customHeight="1">
      <c r="A451" s="19"/>
      <c r="B451" s="19"/>
      <c r="C451" s="19"/>
      <c r="D451" s="19"/>
      <c r="E451" s="19"/>
      <c r="F451" s="19"/>
    </row>
    <row r="452" ht="15.75" customHeight="1">
      <c r="A452" s="19"/>
      <c r="B452" s="19"/>
      <c r="C452" s="19"/>
      <c r="D452" s="19"/>
      <c r="E452" s="19"/>
      <c r="F452" s="19"/>
    </row>
    <row r="453" ht="15.75" customHeight="1">
      <c r="A453" s="19"/>
      <c r="B453" s="19"/>
      <c r="C453" s="19"/>
      <c r="D453" s="19"/>
      <c r="E453" s="19"/>
      <c r="F453" s="19"/>
    </row>
    <row r="454" ht="15.75" customHeight="1">
      <c r="A454" s="19"/>
      <c r="B454" s="19"/>
      <c r="C454" s="19"/>
      <c r="D454" s="19"/>
      <c r="E454" s="19"/>
      <c r="F454" s="19"/>
    </row>
    <row r="455" ht="15.75" customHeight="1">
      <c r="A455" s="19"/>
      <c r="B455" s="19"/>
      <c r="C455" s="19"/>
      <c r="D455" s="19"/>
      <c r="E455" s="19"/>
      <c r="F455" s="19"/>
    </row>
    <row r="456" ht="15.75" customHeight="1">
      <c r="A456" s="19"/>
      <c r="B456" s="19"/>
      <c r="C456" s="19"/>
      <c r="D456" s="19"/>
      <c r="E456" s="19"/>
      <c r="F456" s="19"/>
    </row>
    <row r="457" ht="15.75" customHeight="1">
      <c r="A457" s="19"/>
      <c r="B457" s="19"/>
      <c r="C457" s="19"/>
      <c r="D457" s="19"/>
      <c r="E457" s="19"/>
      <c r="F457" s="19"/>
    </row>
    <row r="458" ht="15.75" customHeight="1">
      <c r="A458" s="19"/>
      <c r="B458" s="19"/>
      <c r="C458" s="19"/>
      <c r="D458" s="19"/>
      <c r="E458" s="19"/>
      <c r="F458" s="19"/>
    </row>
    <row r="459" ht="15.75" customHeight="1">
      <c r="A459" s="19"/>
      <c r="B459" s="19"/>
      <c r="C459" s="19"/>
      <c r="D459" s="19"/>
      <c r="E459" s="19"/>
      <c r="F459" s="19"/>
    </row>
    <row r="460" ht="15.75" customHeight="1">
      <c r="A460" s="19"/>
      <c r="B460" s="19"/>
      <c r="C460" s="19"/>
      <c r="D460" s="19"/>
      <c r="E460" s="19"/>
      <c r="F460" s="19"/>
    </row>
    <row r="461" ht="15.75" customHeight="1">
      <c r="A461" s="19"/>
      <c r="B461" s="19"/>
      <c r="C461" s="19"/>
      <c r="D461" s="19"/>
      <c r="E461" s="19"/>
      <c r="F461" s="19"/>
    </row>
    <row r="462" ht="15.75" customHeight="1">
      <c r="A462" s="19"/>
      <c r="B462" s="19"/>
      <c r="C462" s="19"/>
      <c r="D462" s="19"/>
      <c r="E462" s="19"/>
      <c r="F462" s="19"/>
    </row>
    <row r="463" ht="15.75" customHeight="1">
      <c r="A463" s="19"/>
      <c r="B463" s="19"/>
      <c r="C463" s="19"/>
      <c r="D463" s="19"/>
      <c r="E463" s="19"/>
      <c r="F463" s="19"/>
    </row>
    <row r="464" ht="15.75" customHeight="1">
      <c r="A464" s="19"/>
      <c r="B464" s="19"/>
      <c r="C464" s="19"/>
      <c r="D464" s="19"/>
      <c r="E464" s="19"/>
      <c r="F464" s="19"/>
    </row>
    <row r="465" ht="15.75" customHeight="1">
      <c r="A465" s="19"/>
      <c r="B465" s="19"/>
      <c r="C465" s="19"/>
      <c r="D465" s="19"/>
      <c r="E465" s="19"/>
      <c r="F465" s="19"/>
    </row>
    <row r="466" ht="15.75" customHeight="1">
      <c r="A466" s="19"/>
      <c r="B466" s="19"/>
      <c r="C466" s="19"/>
      <c r="D466" s="19"/>
      <c r="E466" s="19"/>
      <c r="F466" s="19"/>
    </row>
    <row r="467" ht="15.75" customHeight="1">
      <c r="A467" s="19"/>
      <c r="B467" s="19"/>
      <c r="C467" s="19"/>
      <c r="D467" s="19"/>
      <c r="E467" s="19"/>
      <c r="F467" s="19"/>
    </row>
    <row r="468" ht="15.75" customHeight="1">
      <c r="A468" s="19"/>
      <c r="B468" s="19"/>
      <c r="C468" s="19"/>
      <c r="D468" s="19"/>
      <c r="E468" s="19"/>
      <c r="F468" s="19"/>
    </row>
    <row r="469" ht="15.75" customHeight="1">
      <c r="A469" s="19"/>
      <c r="B469" s="19"/>
      <c r="C469" s="19"/>
      <c r="D469" s="19"/>
      <c r="E469" s="19"/>
      <c r="F469" s="19"/>
    </row>
    <row r="470" ht="15.75" customHeight="1">
      <c r="A470" s="19"/>
      <c r="B470" s="19"/>
      <c r="C470" s="19"/>
      <c r="D470" s="19"/>
      <c r="E470" s="19"/>
      <c r="F470" s="19"/>
    </row>
    <row r="471" ht="15.75" customHeight="1">
      <c r="A471" s="19"/>
      <c r="B471" s="19"/>
      <c r="C471" s="19"/>
      <c r="D471" s="19"/>
      <c r="E471" s="19"/>
      <c r="F471" s="19"/>
    </row>
    <row r="472" ht="15.75" customHeight="1">
      <c r="A472" s="19"/>
      <c r="B472" s="19"/>
      <c r="C472" s="19"/>
      <c r="D472" s="19"/>
      <c r="E472" s="19"/>
      <c r="F472" s="19"/>
    </row>
    <row r="473" ht="15.75" customHeight="1">
      <c r="A473" s="19"/>
      <c r="B473" s="19"/>
      <c r="C473" s="19"/>
      <c r="D473" s="19"/>
      <c r="E473" s="19"/>
      <c r="F473" s="19"/>
    </row>
    <row r="474" ht="15.75" customHeight="1">
      <c r="A474" s="19"/>
      <c r="B474" s="19"/>
      <c r="C474" s="19"/>
      <c r="D474" s="19"/>
      <c r="E474" s="19"/>
      <c r="F474" s="19"/>
    </row>
    <row r="475" ht="15.75" customHeight="1">
      <c r="A475" s="19"/>
      <c r="B475" s="19"/>
      <c r="C475" s="19"/>
      <c r="D475" s="19"/>
      <c r="E475" s="19"/>
      <c r="F475" s="19"/>
    </row>
    <row r="476" ht="15.75" customHeight="1">
      <c r="A476" s="19"/>
      <c r="B476" s="19"/>
      <c r="C476" s="19"/>
      <c r="D476" s="19"/>
      <c r="E476" s="19"/>
      <c r="F476" s="19"/>
    </row>
    <row r="477" ht="15.75" customHeight="1">
      <c r="A477" s="19"/>
      <c r="B477" s="19"/>
      <c r="C477" s="19"/>
      <c r="D477" s="19"/>
      <c r="E477" s="19"/>
      <c r="F477" s="19"/>
    </row>
    <row r="478" ht="15.75" customHeight="1">
      <c r="A478" s="19"/>
      <c r="B478" s="19"/>
      <c r="C478" s="19"/>
      <c r="D478" s="19"/>
      <c r="E478" s="19"/>
      <c r="F478" s="19"/>
    </row>
    <row r="479" ht="15.75" customHeight="1">
      <c r="A479" s="19"/>
      <c r="B479" s="19"/>
      <c r="C479" s="19"/>
      <c r="D479" s="19"/>
      <c r="E479" s="19"/>
      <c r="F479" s="19"/>
    </row>
    <row r="480" ht="15.75" customHeight="1">
      <c r="A480" s="19"/>
      <c r="B480" s="19"/>
      <c r="C480" s="19"/>
      <c r="D480" s="19"/>
      <c r="E480" s="19"/>
      <c r="F480" s="19"/>
    </row>
    <row r="481" ht="15.75" customHeight="1">
      <c r="A481" s="19"/>
      <c r="B481" s="19"/>
      <c r="C481" s="19"/>
      <c r="D481" s="19"/>
      <c r="E481" s="19"/>
      <c r="F481" s="19"/>
    </row>
    <row r="482" ht="15.75" customHeight="1">
      <c r="A482" s="19"/>
      <c r="B482" s="19"/>
      <c r="C482" s="19"/>
      <c r="D482" s="19"/>
      <c r="E482" s="19"/>
      <c r="F482" s="19"/>
    </row>
    <row r="483" ht="15.75" customHeight="1">
      <c r="A483" s="19"/>
      <c r="B483" s="19"/>
      <c r="C483" s="19"/>
      <c r="D483" s="19"/>
      <c r="E483" s="19"/>
      <c r="F483" s="19"/>
    </row>
    <row r="484" ht="15.75" customHeight="1">
      <c r="A484" s="19"/>
      <c r="B484" s="19"/>
      <c r="C484" s="19"/>
      <c r="D484" s="19"/>
      <c r="E484" s="19"/>
      <c r="F484" s="19"/>
    </row>
    <row r="485" ht="15.75" customHeight="1">
      <c r="A485" s="19"/>
      <c r="B485" s="19"/>
      <c r="C485" s="19"/>
      <c r="D485" s="19"/>
      <c r="E485" s="19"/>
      <c r="F485" s="19"/>
    </row>
    <row r="486" ht="15.75" customHeight="1">
      <c r="A486" s="19"/>
      <c r="B486" s="19"/>
      <c r="C486" s="19"/>
      <c r="D486" s="19"/>
      <c r="E486" s="19"/>
      <c r="F486" s="19"/>
    </row>
    <row r="487" ht="15.75" customHeight="1">
      <c r="A487" s="19"/>
      <c r="B487" s="19"/>
      <c r="C487" s="19"/>
      <c r="D487" s="19"/>
      <c r="E487" s="19"/>
      <c r="F487" s="19"/>
    </row>
    <row r="488" ht="15.75" customHeight="1">
      <c r="A488" s="19"/>
      <c r="B488" s="19"/>
      <c r="C488" s="19"/>
      <c r="D488" s="19"/>
      <c r="E488" s="19"/>
      <c r="F488" s="19"/>
    </row>
    <row r="489" ht="15.75" customHeight="1">
      <c r="A489" s="19"/>
      <c r="B489" s="19"/>
      <c r="C489" s="19"/>
      <c r="D489" s="19"/>
      <c r="E489" s="19"/>
      <c r="F489" s="19"/>
    </row>
    <row r="490" ht="15.75" customHeight="1">
      <c r="A490" s="19"/>
      <c r="B490" s="19"/>
      <c r="C490" s="19"/>
      <c r="D490" s="19"/>
      <c r="E490" s="19"/>
      <c r="F490" s="19"/>
    </row>
    <row r="491" ht="15.75" customHeight="1">
      <c r="A491" s="19"/>
      <c r="B491" s="19"/>
      <c r="C491" s="19"/>
      <c r="D491" s="19"/>
      <c r="E491" s="19"/>
      <c r="F491" s="19"/>
    </row>
    <row r="492" ht="15.75" customHeight="1">
      <c r="A492" s="19"/>
      <c r="B492" s="19"/>
      <c r="C492" s="19"/>
      <c r="D492" s="19"/>
      <c r="E492" s="19"/>
      <c r="F492" s="19"/>
    </row>
    <row r="493" ht="15.75" customHeight="1">
      <c r="A493" s="19"/>
      <c r="B493" s="19"/>
      <c r="C493" s="19"/>
      <c r="D493" s="19"/>
      <c r="E493" s="19"/>
      <c r="F493" s="19"/>
    </row>
    <row r="494" ht="15.75" customHeight="1">
      <c r="A494" s="19"/>
      <c r="B494" s="19"/>
      <c r="C494" s="19"/>
      <c r="D494" s="19"/>
      <c r="E494" s="19"/>
      <c r="F494" s="19"/>
    </row>
    <row r="495" ht="15.75" customHeight="1">
      <c r="A495" s="19"/>
      <c r="B495" s="19"/>
      <c r="C495" s="19"/>
      <c r="D495" s="19"/>
      <c r="E495" s="19"/>
      <c r="F495" s="19"/>
    </row>
    <row r="496" ht="15.75" customHeight="1">
      <c r="A496" s="19"/>
      <c r="B496" s="19"/>
      <c r="C496" s="19"/>
      <c r="D496" s="19"/>
      <c r="E496" s="19"/>
      <c r="F496" s="19"/>
    </row>
    <row r="497" ht="15.75" customHeight="1">
      <c r="A497" s="19"/>
      <c r="B497" s="19"/>
      <c r="C497" s="19"/>
      <c r="D497" s="19"/>
      <c r="E497" s="19"/>
      <c r="F497" s="19"/>
    </row>
    <row r="498" ht="15.75" customHeight="1">
      <c r="A498" s="19"/>
      <c r="B498" s="19"/>
      <c r="C498" s="19"/>
      <c r="D498" s="19"/>
      <c r="E498" s="19"/>
      <c r="F498" s="19"/>
    </row>
    <row r="499" ht="15.75" customHeight="1">
      <c r="A499" s="19"/>
      <c r="B499" s="19"/>
      <c r="C499" s="19"/>
      <c r="D499" s="19"/>
      <c r="E499" s="19"/>
      <c r="F499" s="19"/>
    </row>
    <row r="500" ht="15.75" customHeight="1">
      <c r="A500" s="19"/>
      <c r="B500" s="19"/>
      <c r="C500" s="19"/>
      <c r="D500" s="19"/>
      <c r="E500" s="19"/>
      <c r="F500" s="19"/>
    </row>
    <row r="501" ht="15.75" customHeight="1">
      <c r="A501" s="19"/>
      <c r="B501" s="19"/>
      <c r="C501" s="19"/>
      <c r="D501" s="19"/>
      <c r="E501" s="19"/>
      <c r="F501" s="19"/>
    </row>
    <row r="502" ht="15.75" customHeight="1">
      <c r="A502" s="19"/>
      <c r="B502" s="19"/>
      <c r="C502" s="19"/>
      <c r="D502" s="19"/>
      <c r="E502" s="19"/>
      <c r="F502" s="19"/>
    </row>
    <row r="503" ht="15.75" customHeight="1">
      <c r="A503" s="19"/>
      <c r="B503" s="19"/>
      <c r="C503" s="19"/>
      <c r="D503" s="19"/>
      <c r="E503" s="19"/>
      <c r="F503" s="19"/>
    </row>
    <row r="504" ht="15.75" customHeight="1">
      <c r="A504" s="19"/>
      <c r="B504" s="19"/>
      <c r="C504" s="19"/>
      <c r="D504" s="19"/>
      <c r="E504" s="19"/>
      <c r="F504" s="19"/>
    </row>
    <row r="505" ht="15.75" customHeight="1">
      <c r="A505" s="19"/>
      <c r="B505" s="19"/>
      <c r="C505" s="19"/>
      <c r="D505" s="19"/>
      <c r="E505" s="19"/>
      <c r="F505" s="19"/>
    </row>
    <row r="506" ht="15.75" customHeight="1">
      <c r="A506" s="19"/>
      <c r="B506" s="19"/>
      <c r="C506" s="19"/>
      <c r="D506" s="19"/>
      <c r="E506" s="19"/>
      <c r="F506" s="19"/>
    </row>
    <row r="507" ht="15.75" customHeight="1">
      <c r="A507" s="19"/>
      <c r="B507" s="19"/>
      <c r="C507" s="19"/>
      <c r="D507" s="19"/>
      <c r="E507" s="19"/>
      <c r="F507" s="19"/>
    </row>
    <row r="508" ht="15.75" customHeight="1">
      <c r="A508" s="19"/>
      <c r="B508" s="19"/>
      <c r="C508" s="19"/>
      <c r="D508" s="19"/>
      <c r="E508" s="19"/>
      <c r="F508" s="19"/>
    </row>
    <row r="509" ht="15.75" customHeight="1">
      <c r="A509" s="19"/>
      <c r="B509" s="19"/>
      <c r="C509" s="19"/>
      <c r="D509" s="19"/>
      <c r="E509" s="19"/>
      <c r="F509" s="19"/>
    </row>
    <row r="510" ht="15.75" customHeight="1">
      <c r="A510" s="19"/>
      <c r="B510" s="19"/>
      <c r="C510" s="19"/>
      <c r="D510" s="19"/>
      <c r="E510" s="19"/>
      <c r="F510" s="19"/>
    </row>
    <row r="511" ht="15.75" customHeight="1">
      <c r="A511" s="19"/>
      <c r="B511" s="19"/>
      <c r="C511" s="19"/>
      <c r="D511" s="19"/>
      <c r="E511" s="19"/>
      <c r="F511" s="19"/>
    </row>
    <row r="512" ht="15.75" customHeight="1">
      <c r="A512" s="19"/>
      <c r="B512" s="19"/>
      <c r="C512" s="19"/>
      <c r="D512" s="19"/>
      <c r="E512" s="19"/>
      <c r="F512" s="19"/>
    </row>
    <row r="513" ht="15.75" customHeight="1">
      <c r="A513" s="19"/>
      <c r="B513" s="19"/>
      <c r="C513" s="19"/>
      <c r="D513" s="19"/>
      <c r="E513" s="19"/>
      <c r="F513" s="19"/>
    </row>
    <row r="514" ht="15.75" customHeight="1">
      <c r="A514" s="19"/>
      <c r="B514" s="19"/>
      <c r="C514" s="19"/>
      <c r="D514" s="19"/>
      <c r="E514" s="19"/>
      <c r="F514" s="19"/>
    </row>
    <row r="515" ht="15.75" customHeight="1">
      <c r="A515" s="19"/>
      <c r="B515" s="19"/>
      <c r="C515" s="19"/>
      <c r="D515" s="19"/>
      <c r="E515" s="19"/>
      <c r="F515" s="19"/>
    </row>
    <row r="516" ht="15.75" customHeight="1">
      <c r="A516" s="19"/>
      <c r="B516" s="19"/>
      <c r="C516" s="19"/>
      <c r="D516" s="19"/>
      <c r="E516" s="19"/>
      <c r="F516" s="19"/>
    </row>
    <row r="517" ht="15.75" customHeight="1">
      <c r="A517" s="19"/>
      <c r="B517" s="19"/>
      <c r="C517" s="19"/>
      <c r="D517" s="19"/>
      <c r="E517" s="19"/>
      <c r="F517" s="19"/>
    </row>
    <row r="518" ht="15.75" customHeight="1">
      <c r="A518" s="19"/>
      <c r="B518" s="19"/>
      <c r="C518" s="19"/>
      <c r="D518" s="19"/>
      <c r="E518" s="19"/>
      <c r="F518" s="19"/>
    </row>
    <row r="519" ht="15.75" customHeight="1">
      <c r="A519" s="19"/>
      <c r="B519" s="19"/>
      <c r="C519" s="19"/>
      <c r="D519" s="19"/>
      <c r="E519" s="19"/>
      <c r="F519" s="19"/>
    </row>
    <row r="520" ht="15.75" customHeight="1">
      <c r="A520" s="19"/>
      <c r="B520" s="19"/>
      <c r="C520" s="19"/>
      <c r="D520" s="19"/>
      <c r="E520" s="19"/>
      <c r="F520" s="19"/>
    </row>
    <row r="521" ht="15.75" customHeight="1">
      <c r="A521" s="19"/>
      <c r="B521" s="19"/>
      <c r="C521" s="19"/>
      <c r="D521" s="19"/>
      <c r="E521" s="19"/>
      <c r="F521" s="19"/>
    </row>
    <row r="522" ht="15.75" customHeight="1">
      <c r="A522" s="19"/>
      <c r="B522" s="19"/>
      <c r="C522" s="19"/>
      <c r="D522" s="19"/>
      <c r="E522" s="19"/>
      <c r="F522" s="19"/>
    </row>
    <row r="523" ht="15.75" customHeight="1">
      <c r="A523" s="19"/>
      <c r="B523" s="19"/>
      <c r="C523" s="19"/>
      <c r="D523" s="19"/>
      <c r="E523" s="19"/>
      <c r="F523" s="19"/>
    </row>
    <row r="524" ht="15.75" customHeight="1">
      <c r="A524" s="19"/>
      <c r="B524" s="19"/>
      <c r="C524" s="19"/>
      <c r="D524" s="19"/>
      <c r="E524" s="19"/>
      <c r="F524" s="19"/>
    </row>
    <row r="525" ht="15.75" customHeight="1">
      <c r="A525" s="19"/>
      <c r="B525" s="19"/>
      <c r="C525" s="19"/>
      <c r="D525" s="19"/>
      <c r="E525" s="19"/>
      <c r="F525" s="19"/>
    </row>
    <row r="526" ht="15.75" customHeight="1">
      <c r="A526" s="19"/>
      <c r="B526" s="19"/>
      <c r="C526" s="19"/>
      <c r="D526" s="19"/>
      <c r="E526" s="19"/>
      <c r="F526" s="19"/>
    </row>
    <row r="527" ht="15.75" customHeight="1">
      <c r="A527" s="19"/>
      <c r="B527" s="19"/>
      <c r="C527" s="19"/>
      <c r="D527" s="19"/>
      <c r="E527" s="19"/>
      <c r="F527" s="19"/>
    </row>
    <row r="528" ht="15.75" customHeight="1">
      <c r="A528" s="19"/>
      <c r="B528" s="19"/>
      <c r="C528" s="19"/>
      <c r="D528" s="19"/>
      <c r="E528" s="19"/>
      <c r="F528" s="19"/>
    </row>
    <row r="529" ht="15.75" customHeight="1">
      <c r="A529" s="19"/>
      <c r="B529" s="19"/>
      <c r="C529" s="19"/>
      <c r="D529" s="19"/>
      <c r="E529" s="19"/>
      <c r="F529" s="19"/>
    </row>
    <row r="530" ht="15.75" customHeight="1">
      <c r="A530" s="19"/>
      <c r="B530" s="19"/>
      <c r="C530" s="19"/>
      <c r="D530" s="19"/>
      <c r="E530" s="19"/>
      <c r="F530" s="19"/>
    </row>
    <row r="531" ht="15.75" customHeight="1">
      <c r="A531" s="19"/>
      <c r="B531" s="19"/>
      <c r="C531" s="19"/>
      <c r="D531" s="19"/>
      <c r="E531" s="19"/>
      <c r="F531" s="19"/>
    </row>
    <row r="532" ht="15.75" customHeight="1">
      <c r="A532" s="19"/>
      <c r="B532" s="19"/>
      <c r="C532" s="19"/>
      <c r="D532" s="19"/>
      <c r="E532" s="19"/>
      <c r="F532" s="19"/>
    </row>
    <row r="533" ht="15.75" customHeight="1">
      <c r="A533" s="19"/>
      <c r="B533" s="19"/>
      <c r="C533" s="19"/>
      <c r="D533" s="19"/>
      <c r="E533" s="19"/>
      <c r="F533" s="19"/>
    </row>
    <row r="534" ht="15.75" customHeight="1">
      <c r="A534" s="19"/>
      <c r="B534" s="19"/>
      <c r="C534" s="19"/>
      <c r="D534" s="19"/>
      <c r="E534" s="19"/>
      <c r="F534" s="19"/>
    </row>
    <row r="535" ht="15.75" customHeight="1">
      <c r="A535" s="19"/>
      <c r="B535" s="19"/>
      <c r="C535" s="19"/>
      <c r="D535" s="19"/>
      <c r="E535" s="19"/>
      <c r="F535" s="19"/>
    </row>
    <row r="536" ht="15.75" customHeight="1">
      <c r="A536" s="19"/>
      <c r="B536" s="19"/>
      <c r="C536" s="19"/>
      <c r="D536" s="19"/>
      <c r="E536" s="19"/>
      <c r="F536" s="19"/>
    </row>
    <row r="537" ht="15.75" customHeight="1">
      <c r="A537" s="19"/>
      <c r="B537" s="19"/>
      <c r="C537" s="19"/>
      <c r="D537" s="19"/>
      <c r="E537" s="19"/>
      <c r="F537" s="19"/>
    </row>
    <row r="538" ht="15.75" customHeight="1">
      <c r="A538" s="19"/>
      <c r="B538" s="19"/>
      <c r="C538" s="19"/>
      <c r="D538" s="19"/>
      <c r="E538" s="19"/>
      <c r="F538" s="19"/>
    </row>
    <row r="539" ht="15.75" customHeight="1">
      <c r="A539" s="19"/>
      <c r="B539" s="19"/>
      <c r="C539" s="19"/>
      <c r="D539" s="19"/>
      <c r="E539" s="19"/>
      <c r="F539" s="19"/>
    </row>
    <row r="540" ht="15.75" customHeight="1">
      <c r="A540" s="19"/>
      <c r="B540" s="19"/>
      <c r="C540" s="19"/>
      <c r="D540" s="19"/>
      <c r="E540" s="19"/>
      <c r="F540" s="19"/>
    </row>
    <row r="541" ht="15.75" customHeight="1">
      <c r="A541" s="19"/>
      <c r="B541" s="19"/>
      <c r="C541" s="19"/>
      <c r="D541" s="19"/>
      <c r="E541" s="19"/>
      <c r="F541" s="19"/>
    </row>
    <row r="542" ht="15.75" customHeight="1">
      <c r="A542" s="19"/>
      <c r="B542" s="19"/>
      <c r="C542" s="19"/>
      <c r="D542" s="19"/>
      <c r="E542" s="19"/>
      <c r="F542" s="19"/>
    </row>
    <row r="543" ht="15.75" customHeight="1">
      <c r="A543" s="19"/>
      <c r="B543" s="19"/>
      <c r="C543" s="19"/>
      <c r="D543" s="19"/>
      <c r="E543" s="19"/>
      <c r="F543" s="19"/>
    </row>
    <row r="544" ht="15.75" customHeight="1">
      <c r="A544" s="19"/>
      <c r="B544" s="19"/>
      <c r="C544" s="19"/>
      <c r="D544" s="19"/>
      <c r="E544" s="19"/>
      <c r="F544" s="19"/>
    </row>
    <row r="545" ht="15.75" customHeight="1">
      <c r="A545" s="19"/>
      <c r="B545" s="19"/>
      <c r="C545" s="19"/>
      <c r="D545" s="19"/>
      <c r="E545" s="19"/>
      <c r="F545" s="19"/>
    </row>
    <row r="546" ht="15.75" customHeight="1">
      <c r="A546" s="19"/>
      <c r="B546" s="19"/>
      <c r="C546" s="19"/>
      <c r="D546" s="19"/>
      <c r="E546" s="19"/>
      <c r="F546" s="19"/>
    </row>
    <row r="547" ht="15.75" customHeight="1">
      <c r="A547" s="19"/>
      <c r="B547" s="19"/>
      <c r="C547" s="19"/>
      <c r="D547" s="19"/>
      <c r="E547" s="19"/>
      <c r="F547" s="19"/>
    </row>
    <row r="548" ht="15.75" customHeight="1">
      <c r="A548" s="19"/>
      <c r="B548" s="19"/>
      <c r="C548" s="19"/>
      <c r="D548" s="19"/>
      <c r="E548" s="19"/>
      <c r="F548" s="19"/>
    </row>
    <row r="549" ht="15.75" customHeight="1">
      <c r="A549" s="19"/>
      <c r="B549" s="19"/>
      <c r="C549" s="19"/>
      <c r="D549" s="19"/>
      <c r="E549" s="19"/>
      <c r="F549" s="19"/>
    </row>
    <row r="550" ht="15.75" customHeight="1">
      <c r="A550" s="19"/>
      <c r="B550" s="19"/>
      <c r="C550" s="19"/>
      <c r="D550" s="19"/>
      <c r="E550" s="19"/>
      <c r="F550" s="19"/>
    </row>
    <row r="551" ht="15.75" customHeight="1">
      <c r="A551" s="19"/>
      <c r="B551" s="19"/>
      <c r="C551" s="19"/>
      <c r="D551" s="19"/>
      <c r="E551" s="19"/>
      <c r="F551" s="19"/>
    </row>
    <row r="552" ht="15.75" customHeight="1">
      <c r="A552" s="19"/>
      <c r="B552" s="19"/>
      <c r="C552" s="19"/>
      <c r="D552" s="19"/>
      <c r="E552" s="19"/>
      <c r="F552" s="19"/>
    </row>
    <row r="553" ht="15.75" customHeight="1">
      <c r="A553" s="19"/>
      <c r="B553" s="19"/>
      <c r="C553" s="19"/>
      <c r="D553" s="19"/>
      <c r="E553" s="19"/>
      <c r="F553" s="19"/>
    </row>
    <row r="554" ht="15.75" customHeight="1">
      <c r="A554" s="19"/>
      <c r="B554" s="19"/>
      <c r="C554" s="19"/>
      <c r="D554" s="19"/>
      <c r="E554" s="19"/>
      <c r="F554" s="19"/>
    </row>
    <row r="555" ht="15.75" customHeight="1">
      <c r="A555" s="19"/>
      <c r="B555" s="19"/>
      <c r="C555" s="19"/>
      <c r="D555" s="19"/>
      <c r="E555" s="19"/>
      <c r="F555" s="19"/>
    </row>
    <row r="556" ht="15.75" customHeight="1">
      <c r="A556" s="19"/>
      <c r="B556" s="19"/>
      <c r="C556" s="19"/>
      <c r="D556" s="19"/>
      <c r="E556" s="19"/>
      <c r="F556" s="19"/>
    </row>
    <row r="557" ht="15.75" customHeight="1">
      <c r="A557" s="19"/>
      <c r="B557" s="19"/>
      <c r="C557" s="19"/>
      <c r="D557" s="19"/>
      <c r="E557" s="19"/>
      <c r="F557" s="19"/>
    </row>
    <row r="558" ht="15.75" customHeight="1">
      <c r="A558" s="19"/>
      <c r="B558" s="19"/>
      <c r="C558" s="19"/>
      <c r="D558" s="19"/>
      <c r="E558" s="19"/>
      <c r="F558" s="19"/>
    </row>
    <row r="559" ht="15.75" customHeight="1">
      <c r="A559" s="19"/>
      <c r="B559" s="19"/>
      <c r="C559" s="19"/>
      <c r="D559" s="19"/>
      <c r="E559" s="19"/>
      <c r="F559" s="19"/>
    </row>
    <row r="560" ht="15.75" customHeight="1">
      <c r="A560" s="19"/>
      <c r="B560" s="19"/>
      <c r="C560" s="19"/>
      <c r="D560" s="19"/>
      <c r="E560" s="19"/>
      <c r="F560" s="19"/>
    </row>
    <row r="561" ht="15.75" customHeight="1">
      <c r="A561" s="19"/>
      <c r="B561" s="19"/>
      <c r="C561" s="19"/>
      <c r="D561" s="19"/>
      <c r="E561" s="19"/>
      <c r="F561" s="19"/>
    </row>
    <row r="562" ht="15.75" customHeight="1">
      <c r="A562" s="19"/>
      <c r="B562" s="19"/>
      <c r="C562" s="19"/>
      <c r="D562" s="19"/>
      <c r="E562" s="19"/>
      <c r="F562" s="19"/>
    </row>
    <row r="563" ht="15.75" customHeight="1">
      <c r="A563" s="19"/>
      <c r="B563" s="19"/>
      <c r="C563" s="19"/>
      <c r="D563" s="19"/>
      <c r="E563" s="19"/>
      <c r="F563" s="19"/>
    </row>
    <row r="564" ht="15.75" customHeight="1">
      <c r="A564" s="19"/>
      <c r="B564" s="19"/>
      <c r="C564" s="19"/>
      <c r="D564" s="19"/>
      <c r="E564" s="19"/>
      <c r="F564" s="19"/>
    </row>
    <row r="565" ht="15.75" customHeight="1">
      <c r="A565" s="19"/>
      <c r="B565" s="19"/>
      <c r="C565" s="19"/>
      <c r="D565" s="19"/>
      <c r="E565" s="19"/>
      <c r="F565" s="19"/>
    </row>
    <row r="566" ht="15.75" customHeight="1">
      <c r="A566" s="19"/>
      <c r="B566" s="19"/>
      <c r="C566" s="19"/>
      <c r="D566" s="19"/>
      <c r="E566" s="19"/>
      <c r="F566" s="19"/>
    </row>
    <row r="567" ht="15.75" customHeight="1">
      <c r="A567" s="19"/>
      <c r="B567" s="19"/>
      <c r="C567" s="19"/>
      <c r="D567" s="19"/>
      <c r="E567" s="19"/>
      <c r="F567" s="19"/>
    </row>
    <row r="568" ht="15.75" customHeight="1">
      <c r="A568" s="19"/>
      <c r="B568" s="19"/>
      <c r="C568" s="19"/>
      <c r="D568" s="19"/>
      <c r="E568" s="19"/>
      <c r="F568" s="19"/>
    </row>
    <row r="569" ht="15.75" customHeight="1">
      <c r="A569" s="19"/>
      <c r="B569" s="19"/>
      <c r="C569" s="19"/>
      <c r="D569" s="19"/>
      <c r="E569" s="19"/>
      <c r="F569" s="19"/>
    </row>
    <row r="570" ht="15.75" customHeight="1">
      <c r="A570" s="19"/>
      <c r="B570" s="19"/>
      <c r="C570" s="19"/>
      <c r="D570" s="19"/>
      <c r="E570" s="19"/>
      <c r="F570" s="19"/>
    </row>
    <row r="571" ht="15.75" customHeight="1">
      <c r="A571" s="19"/>
      <c r="B571" s="19"/>
      <c r="C571" s="19"/>
      <c r="D571" s="19"/>
      <c r="E571" s="19"/>
      <c r="F571" s="19"/>
    </row>
    <row r="572" ht="15.75" customHeight="1">
      <c r="A572" s="19"/>
      <c r="B572" s="19"/>
      <c r="C572" s="19"/>
      <c r="D572" s="19"/>
      <c r="E572" s="19"/>
      <c r="F572" s="19"/>
    </row>
    <row r="573" ht="15.75" customHeight="1">
      <c r="A573" s="19"/>
      <c r="B573" s="19"/>
      <c r="C573" s="19"/>
      <c r="D573" s="19"/>
      <c r="E573" s="19"/>
      <c r="F573" s="19"/>
    </row>
    <row r="574" ht="15.75" customHeight="1">
      <c r="A574" s="19"/>
      <c r="B574" s="19"/>
      <c r="C574" s="19"/>
      <c r="D574" s="19"/>
      <c r="E574" s="19"/>
      <c r="F574" s="19"/>
    </row>
    <row r="575" ht="15.75" customHeight="1">
      <c r="A575" s="19"/>
      <c r="B575" s="19"/>
      <c r="C575" s="19"/>
      <c r="D575" s="19"/>
      <c r="E575" s="19"/>
      <c r="F575" s="19"/>
    </row>
    <row r="576" ht="15.75" customHeight="1">
      <c r="A576" s="19"/>
      <c r="B576" s="19"/>
      <c r="C576" s="19"/>
      <c r="D576" s="19"/>
      <c r="E576" s="19"/>
      <c r="F576" s="19"/>
    </row>
    <row r="577" ht="15.75" customHeight="1">
      <c r="A577" s="19"/>
      <c r="B577" s="19"/>
      <c r="C577" s="19"/>
      <c r="D577" s="19"/>
      <c r="E577" s="19"/>
      <c r="F577" s="19"/>
    </row>
    <row r="578" ht="15.75" customHeight="1">
      <c r="A578" s="19"/>
      <c r="B578" s="19"/>
      <c r="C578" s="19"/>
      <c r="D578" s="19"/>
      <c r="E578" s="19"/>
      <c r="F578" s="19"/>
    </row>
    <row r="579" ht="15.75" customHeight="1">
      <c r="A579" s="19"/>
      <c r="B579" s="19"/>
      <c r="C579" s="19"/>
      <c r="D579" s="19"/>
      <c r="E579" s="19"/>
      <c r="F579" s="19"/>
    </row>
    <row r="580" ht="15.75" customHeight="1">
      <c r="A580" s="19"/>
      <c r="B580" s="19"/>
      <c r="C580" s="19"/>
      <c r="D580" s="19"/>
      <c r="E580" s="19"/>
      <c r="F580" s="19"/>
    </row>
    <row r="581" ht="15.75" customHeight="1">
      <c r="A581" s="19"/>
      <c r="B581" s="19"/>
      <c r="C581" s="19"/>
      <c r="D581" s="19"/>
      <c r="E581" s="19"/>
      <c r="F581" s="19"/>
    </row>
    <row r="582" ht="15.75" customHeight="1">
      <c r="A582" s="19"/>
      <c r="B582" s="19"/>
      <c r="C582" s="19"/>
      <c r="D582" s="19"/>
      <c r="E582" s="19"/>
      <c r="F582" s="19"/>
    </row>
    <row r="583" ht="15.75" customHeight="1">
      <c r="A583" s="19"/>
      <c r="B583" s="19"/>
      <c r="C583" s="19"/>
      <c r="D583" s="19"/>
      <c r="E583" s="19"/>
      <c r="F583" s="19"/>
    </row>
    <row r="584" ht="15.75" customHeight="1">
      <c r="A584" s="19"/>
      <c r="B584" s="19"/>
      <c r="C584" s="19"/>
      <c r="D584" s="19"/>
      <c r="E584" s="19"/>
      <c r="F584" s="19"/>
    </row>
    <row r="585" ht="15.75" customHeight="1">
      <c r="A585" s="19"/>
      <c r="B585" s="19"/>
      <c r="C585" s="19"/>
      <c r="D585" s="19"/>
      <c r="E585" s="19"/>
      <c r="F585" s="19"/>
    </row>
    <row r="586" ht="15.75" customHeight="1">
      <c r="A586" s="19"/>
      <c r="B586" s="19"/>
      <c r="C586" s="19"/>
      <c r="D586" s="19"/>
      <c r="E586" s="19"/>
      <c r="F586" s="19"/>
    </row>
    <row r="587" ht="15.75" customHeight="1">
      <c r="A587" s="19"/>
      <c r="B587" s="19"/>
      <c r="C587" s="19"/>
      <c r="D587" s="19"/>
      <c r="E587" s="19"/>
      <c r="F587" s="19"/>
    </row>
    <row r="588" ht="15.75" customHeight="1">
      <c r="A588" s="19"/>
      <c r="B588" s="19"/>
      <c r="C588" s="19"/>
      <c r="D588" s="19"/>
      <c r="E588" s="19"/>
      <c r="F588" s="19"/>
    </row>
    <row r="589" ht="15.75" customHeight="1">
      <c r="A589" s="19"/>
      <c r="B589" s="19"/>
      <c r="C589" s="19"/>
      <c r="D589" s="19"/>
      <c r="E589" s="19"/>
      <c r="F589" s="19"/>
    </row>
    <row r="590" ht="15.75" customHeight="1">
      <c r="A590" s="19"/>
      <c r="B590" s="19"/>
      <c r="C590" s="19"/>
      <c r="D590" s="19"/>
      <c r="E590" s="19"/>
      <c r="F590" s="19"/>
    </row>
    <row r="591" ht="15.75" customHeight="1">
      <c r="A591" s="19"/>
      <c r="B591" s="19"/>
      <c r="C591" s="19"/>
      <c r="D591" s="19"/>
      <c r="E591" s="19"/>
      <c r="F591" s="19"/>
    </row>
    <row r="592" ht="15.75" customHeight="1">
      <c r="A592" s="19"/>
      <c r="B592" s="19"/>
      <c r="C592" s="19"/>
      <c r="D592" s="19"/>
      <c r="E592" s="19"/>
      <c r="F592" s="19"/>
    </row>
    <row r="593" ht="15.75" customHeight="1">
      <c r="A593" s="19"/>
      <c r="B593" s="19"/>
      <c r="C593" s="19"/>
      <c r="D593" s="19"/>
      <c r="E593" s="19"/>
      <c r="F593" s="19"/>
    </row>
    <row r="594" ht="15.75" customHeight="1">
      <c r="A594" s="19"/>
      <c r="B594" s="19"/>
      <c r="C594" s="19"/>
      <c r="D594" s="19"/>
      <c r="E594" s="19"/>
      <c r="F594" s="19"/>
    </row>
    <row r="595" ht="15.75" customHeight="1">
      <c r="A595" s="19"/>
      <c r="B595" s="19"/>
      <c r="C595" s="19"/>
      <c r="D595" s="19"/>
      <c r="E595" s="19"/>
      <c r="F595" s="19"/>
    </row>
    <row r="596" ht="15.75" customHeight="1">
      <c r="A596" s="19"/>
      <c r="B596" s="19"/>
      <c r="C596" s="19"/>
      <c r="D596" s="19"/>
      <c r="E596" s="19"/>
      <c r="F596" s="19"/>
    </row>
    <row r="597" ht="15.75" customHeight="1">
      <c r="A597" s="19"/>
      <c r="B597" s="19"/>
      <c r="C597" s="19"/>
      <c r="D597" s="19"/>
      <c r="E597" s="19"/>
      <c r="F597" s="19"/>
    </row>
    <row r="598" ht="15.75" customHeight="1">
      <c r="A598" s="19"/>
      <c r="B598" s="19"/>
      <c r="C598" s="19"/>
      <c r="D598" s="19"/>
      <c r="E598" s="19"/>
      <c r="F598" s="19"/>
    </row>
    <row r="599" ht="15.75" customHeight="1">
      <c r="A599" s="19"/>
      <c r="B599" s="19"/>
      <c r="C599" s="19"/>
      <c r="D599" s="19"/>
      <c r="E599" s="19"/>
      <c r="F599" s="19"/>
    </row>
    <row r="600" ht="15.75" customHeight="1">
      <c r="A600" s="19"/>
      <c r="B600" s="19"/>
      <c r="C600" s="19"/>
      <c r="D600" s="19"/>
      <c r="E600" s="19"/>
      <c r="F600" s="19"/>
    </row>
    <row r="601" ht="15.75" customHeight="1">
      <c r="A601" s="19"/>
      <c r="B601" s="19"/>
      <c r="C601" s="19"/>
      <c r="D601" s="19"/>
      <c r="E601" s="19"/>
      <c r="F601" s="19"/>
    </row>
    <row r="602" ht="15.75" customHeight="1">
      <c r="A602" s="19"/>
      <c r="B602" s="19"/>
      <c r="C602" s="19"/>
      <c r="D602" s="19"/>
      <c r="E602" s="19"/>
      <c r="F602" s="19"/>
    </row>
    <row r="603" ht="15.75" customHeight="1">
      <c r="A603" s="19"/>
      <c r="B603" s="19"/>
      <c r="C603" s="19"/>
      <c r="D603" s="19"/>
      <c r="E603" s="19"/>
      <c r="F603" s="19"/>
    </row>
    <row r="604" ht="15.75" customHeight="1">
      <c r="A604" s="19"/>
      <c r="B604" s="19"/>
      <c r="C604" s="19"/>
      <c r="D604" s="19"/>
      <c r="E604" s="19"/>
      <c r="F604" s="19"/>
    </row>
    <row r="605" ht="15.75" customHeight="1">
      <c r="A605" s="19"/>
      <c r="B605" s="19"/>
      <c r="C605" s="19"/>
      <c r="D605" s="19"/>
      <c r="E605" s="19"/>
      <c r="F605" s="19"/>
    </row>
    <row r="606" ht="15.75" customHeight="1">
      <c r="A606" s="19"/>
      <c r="B606" s="19"/>
      <c r="C606" s="19"/>
      <c r="D606" s="19"/>
      <c r="E606" s="19"/>
      <c r="F606" s="19"/>
    </row>
    <row r="607" ht="15.75" customHeight="1">
      <c r="A607" s="19"/>
      <c r="B607" s="19"/>
      <c r="C607" s="19"/>
      <c r="D607" s="19"/>
      <c r="E607" s="19"/>
      <c r="F607" s="19"/>
    </row>
    <row r="608" ht="15.75" customHeight="1">
      <c r="A608" s="19"/>
      <c r="B608" s="19"/>
      <c r="C608" s="19"/>
      <c r="D608" s="19"/>
      <c r="E608" s="19"/>
      <c r="F608" s="19"/>
    </row>
    <row r="609" ht="15.75" customHeight="1">
      <c r="A609" s="19"/>
      <c r="B609" s="19"/>
      <c r="C609" s="19"/>
      <c r="D609" s="19"/>
      <c r="E609" s="19"/>
      <c r="F609" s="19"/>
    </row>
    <row r="610" ht="15.75" customHeight="1">
      <c r="A610" s="19"/>
      <c r="B610" s="19"/>
      <c r="C610" s="19"/>
      <c r="D610" s="19"/>
      <c r="E610" s="19"/>
      <c r="F610" s="19"/>
    </row>
    <row r="611" ht="15.75" customHeight="1">
      <c r="A611" s="19"/>
      <c r="B611" s="19"/>
      <c r="C611" s="19"/>
      <c r="D611" s="19"/>
      <c r="E611" s="19"/>
      <c r="F611" s="19"/>
    </row>
    <row r="612" ht="15.75" customHeight="1">
      <c r="A612" s="19"/>
      <c r="B612" s="19"/>
      <c r="C612" s="19"/>
      <c r="D612" s="19"/>
      <c r="E612" s="19"/>
      <c r="F612" s="19"/>
    </row>
    <row r="613" ht="15.75" customHeight="1">
      <c r="A613" s="19"/>
      <c r="B613" s="19"/>
      <c r="C613" s="19"/>
      <c r="D613" s="19"/>
      <c r="E613" s="19"/>
      <c r="F613" s="19"/>
    </row>
    <row r="614" ht="15.75" customHeight="1">
      <c r="A614" s="19"/>
      <c r="B614" s="19"/>
      <c r="C614" s="19"/>
      <c r="D614" s="19"/>
      <c r="E614" s="19"/>
      <c r="F614" s="19"/>
    </row>
    <row r="615" ht="15.75" customHeight="1">
      <c r="A615" s="19"/>
      <c r="B615" s="19"/>
      <c r="C615" s="19"/>
      <c r="D615" s="19"/>
      <c r="E615" s="19"/>
      <c r="F615" s="19"/>
    </row>
    <row r="616" ht="15.75" customHeight="1">
      <c r="A616" s="19"/>
      <c r="B616" s="19"/>
      <c r="C616" s="19"/>
      <c r="D616" s="19"/>
      <c r="E616" s="19"/>
      <c r="F616" s="19"/>
    </row>
    <row r="617" ht="15.75" customHeight="1">
      <c r="A617" s="19"/>
      <c r="B617" s="19"/>
      <c r="C617" s="19"/>
      <c r="D617" s="19"/>
      <c r="E617" s="19"/>
      <c r="F617" s="19"/>
    </row>
    <row r="618" ht="15.75" customHeight="1">
      <c r="A618" s="19"/>
      <c r="B618" s="19"/>
      <c r="C618" s="19"/>
      <c r="D618" s="19"/>
      <c r="E618" s="19"/>
      <c r="F618" s="19"/>
    </row>
    <row r="619" ht="15.75" customHeight="1">
      <c r="A619" s="19"/>
      <c r="B619" s="19"/>
      <c r="C619" s="19"/>
      <c r="D619" s="19"/>
      <c r="E619" s="19"/>
      <c r="F619" s="19"/>
    </row>
    <row r="620" ht="15.75" customHeight="1">
      <c r="A620" s="19"/>
      <c r="B620" s="19"/>
      <c r="C620" s="19"/>
      <c r="D620" s="19"/>
      <c r="E620" s="19"/>
      <c r="F620" s="19"/>
    </row>
    <row r="621" ht="15.75" customHeight="1">
      <c r="A621" s="19"/>
      <c r="B621" s="19"/>
      <c r="C621" s="19"/>
      <c r="D621" s="19"/>
      <c r="E621" s="19"/>
      <c r="F621" s="19"/>
    </row>
    <row r="622" ht="15.75" customHeight="1">
      <c r="A622" s="19"/>
      <c r="B622" s="19"/>
      <c r="C622" s="19"/>
      <c r="D622" s="19"/>
      <c r="E622" s="19"/>
      <c r="F622" s="19"/>
    </row>
    <row r="623" ht="15.75" customHeight="1">
      <c r="A623" s="19"/>
      <c r="B623" s="19"/>
      <c r="C623" s="19"/>
      <c r="D623" s="19"/>
      <c r="E623" s="19"/>
      <c r="F623" s="19"/>
    </row>
    <row r="624" ht="15.75" customHeight="1">
      <c r="A624" s="19"/>
      <c r="B624" s="19"/>
      <c r="C624" s="19"/>
      <c r="D624" s="19"/>
      <c r="E624" s="19"/>
      <c r="F624" s="19"/>
    </row>
    <row r="625" ht="15.75" customHeight="1">
      <c r="A625" s="19"/>
      <c r="B625" s="19"/>
      <c r="C625" s="19"/>
      <c r="D625" s="19"/>
      <c r="E625" s="19"/>
      <c r="F625" s="19"/>
    </row>
    <row r="626" ht="15.75" customHeight="1">
      <c r="A626" s="19"/>
      <c r="B626" s="19"/>
      <c r="C626" s="19"/>
      <c r="D626" s="19"/>
      <c r="E626" s="19"/>
      <c r="F626" s="19"/>
    </row>
    <row r="627" ht="15.75" customHeight="1">
      <c r="A627" s="19"/>
      <c r="B627" s="19"/>
      <c r="C627" s="19"/>
      <c r="D627" s="19"/>
      <c r="E627" s="19"/>
      <c r="F627" s="19"/>
    </row>
    <row r="628" ht="15.75" customHeight="1">
      <c r="A628" s="19"/>
      <c r="B628" s="19"/>
      <c r="C628" s="19"/>
      <c r="D628" s="19"/>
      <c r="E628" s="19"/>
      <c r="F628" s="19"/>
    </row>
    <row r="629" ht="15.75" customHeight="1">
      <c r="A629" s="19"/>
      <c r="B629" s="19"/>
      <c r="C629" s="19"/>
      <c r="D629" s="19"/>
      <c r="E629" s="19"/>
      <c r="F629" s="19"/>
    </row>
    <row r="630" ht="15.75" customHeight="1">
      <c r="A630" s="19"/>
      <c r="B630" s="19"/>
      <c r="C630" s="19"/>
      <c r="D630" s="19"/>
      <c r="E630" s="19"/>
      <c r="F630" s="19"/>
    </row>
    <row r="631" ht="15.75" customHeight="1">
      <c r="A631" s="19"/>
      <c r="B631" s="19"/>
      <c r="C631" s="19"/>
      <c r="D631" s="19"/>
      <c r="E631" s="19"/>
      <c r="F631" s="19"/>
    </row>
    <row r="632" ht="15.75" customHeight="1">
      <c r="A632" s="19"/>
      <c r="B632" s="19"/>
      <c r="C632" s="19"/>
      <c r="D632" s="19"/>
      <c r="E632" s="19"/>
      <c r="F632" s="19"/>
    </row>
    <row r="633" ht="15.75" customHeight="1">
      <c r="A633" s="19"/>
      <c r="B633" s="19"/>
      <c r="C633" s="19"/>
      <c r="D633" s="19"/>
      <c r="E633" s="19"/>
      <c r="F633" s="19"/>
    </row>
    <row r="634" ht="15.75" customHeight="1">
      <c r="A634" s="19"/>
      <c r="B634" s="19"/>
      <c r="C634" s="19"/>
      <c r="D634" s="19"/>
      <c r="E634" s="19"/>
      <c r="F634" s="19"/>
    </row>
    <row r="635" ht="15.75" customHeight="1">
      <c r="A635" s="19"/>
      <c r="B635" s="19"/>
      <c r="C635" s="19"/>
      <c r="D635" s="19"/>
      <c r="E635" s="19"/>
      <c r="F635" s="19"/>
    </row>
    <row r="636" ht="15.75" customHeight="1">
      <c r="A636" s="19"/>
      <c r="B636" s="19"/>
      <c r="C636" s="19"/>
      <c r="D636" s="19"/>
      <c r="E636" s="19"/>
      <c r="F636" s="19"/>
    </row>
    <row r="637" ht="15.75" customHeight="1">
      <c r="A637" s="19"/>
      <c r="B637" s="19"/>
      <c r="C637" s="19"/>
      <c r="D637" s="19"/>
      <c r="E637" s="19"/>
      <c r="F637" s="19"/>
    </row>
    <row r="638" ht="15.75" customHeight="1">
      <c r="A638" s="19"/>
      <c r="B638" s="19"/>
      <c r="C638" s="19"/>
      <c r="D638" s="19"/>
      <c r="E638" s="19"/>
      <c r="F638" s="19"/>
    </row>
    <row r="639" ht="15.75" customHeight="1">
      <c r="A639" s="19"/>
      <c r="B639" s="19"/>
      <c r="C639" s="19"/>
      <c r="D639" s="19"/>
      <c r="E639" s="19"/>
      <c r="F639" s="19"/>
    </row>
    <row r="640" ht="15.75" customHeight="1">
      <c r="A640" s="19"/>
      <c r="B640" s="19"/>
      <c r="C640" s="19"/>
      <c r="D640" s="19"/>
      <c r="E640" s="19"/>
      <c r="F640" s="19"/>
    </row>
    <row r="641" ht="15.75" customHeight="1">
      <c r="A641" s="19"/>
      <c r="B641" s="19"/>
      <c r="C641" s="19"/>
      <c r="D641" s="19"/>
      <c r="E641" s="19"/>
      <c r="F641" s="19"/>
    </row>
    <row r="642" ht="15.75" customHeight="1">
      <c r="A642" s="19"/>
      <c r="B642" s="19"/>
      <c r="C642" s="19"/>
      <c r="D642" s="19"/>
      <c r="E642" s="19"/>
      <c r="F642" s="19"/>
    </row>
    <row r="643" ht="15.75" customHeight="1">
      <c r="A643" s="19"/>
      <c r="B643" s="19"/>
      <c r="C643" s="19"/>
      <c r="D643" s="19"/>
      <c r="E643" s="19"/>
      <c r="F643" s="19"/>
    </row>
    <row r="644" ht="15.75" customHeight="1">
      <c r="A644" s="19"/>
      <c r="B644" s="19"/>
      <c r="C644" s="19"/>
      <c r="D644" s="19"/>
      <c r="E644" s="19"/>
      <c r="F644" s="19"/>
    </row>
    <row r="645" ht="15.75" customHeight="1">
      <c r="A645" s="19"/>
      <c r="B645" s="19"/>
      <c r="C645" s="19"/>
      <c r="D645" s="19"/>
      <c r="E645" s="19"/>
      <c r="F645" s="19"/>
    </row>
    <row r="646" ht="15.75" customHeight="1">
      <c r="A646" s="19"/>
      <c r="B646" s="19"/>
      <c r="C646" s="19"/>
      <c r="D646" s="19"/>
      <c r="E646" s="19"/>
      <c r="F646" s="19"/>
    </row>
    <row r="647" ht="15.75" customHeight="1">
      <c r="A647" s="19"/>
      <c r="B647" s="19"/>
      <c r="C647" s="19"/>
      <c r="D647" s="19"/>
      <c r="E647" s="19"/>
      <c r="F647" s="19"/>
    </row>
    <row r="648" ht="15.75" customHeight="1">
      <c r="A648" s="19"/>
      <c r="B648" s="19"/>
      <c r="C648" s="19"/>
      <c r="D648" s="19"/>
      <c r="E648" s="19"/>
      <c r="F648" s="19"/>
    </row>
    <row r="649" ht="15.75" customHeight="1">
      <c r="A649" s="19"/>
      <c r="B649" s="19"/>
      <c r="C649" s="19"/>
      <c r="D649" s="19"/>
      <c r="E649" s="19"/>
      <c r="F649" s="19"/>
    </row>
    <row r="650" ht="15.75" customHeight="1">
      <c r="A650" s="19"/>
      <c r="B650" s="19"/>
      <c r="C650" s="19"/>
      <c r="D650" s="19"/>
      <c r="E650" s="19"/>
      <c r="F650" s="19"/>
    </row>
    <row r="651" ht="15.75" customHeight="1">
      <c r="A651" s="19"/>
      <c r="B651" s="19"/>
      <c r="C651" s="19"/>
      <c r="D651" s="19"/>
      <c r="E651" s="19"/>
      <c r="F651" s="19"/>
    </row>
    <row r="652" ht="15.75" customHeight="1">
      <c r="A652" s="19"/>
      <c r="B652" s="19"/>
      <c r="C652" s="19"/>
      <c r="D652" s="19"/>
      <c r="E652" s="19"/>
      <c r="F652" s="19"/>
    </row>
    <row r="653" ht="15.75" customHeight="1">
      <c r="A653" s="19"/>
      <c r="B653" s="19"/>
      <c r="C653" s="19"/>
      <c r="D653" s="19"/>
      <c r="E653" s="19"/>
      <c r="F653" s="19"/>
    </row>
    <row r="654" ht="15.75" customHeight="1">
      <c r="A654" s="19"/>
      <c r="B654" s="19"/>
      <c r="C654" s="19"/>
      <c r="D654" s="19"/>
      <c r="E654" s="19"/>
      <c r="F654" s="19"/>
    </row>
    <row r="655" ht="15.75" customHeight="1">
      <c r="A655" s="19"/>
      <c r="B655" s="19"/>
      <c r="C655" s="19"/>
      <c r="D655" s="19"/>
      <c r="E655" s="19"/>
      <c r="F655" s="19"/>
    </row>
    <row r="656" ht="15.75" customHeight="1">
      <c r="A656" s="19"/>
      <c r="B656" s="19"/>
      <c r="C656" s="19"/>
      <c r="D656" s="19"/>
      <c r="E656" s="19"/>
      <c r="F656" s="19"/>
    </row>
    <row r="657" ht="15.75" customHeight="1">
      <c r="A657" s="19"/>
      <c r="B657" s="19"/>
      <c r="C657" s="19"/>
      <c r="D657" s="19"/>
      <c r="E657" s="19"/>
      <c r="F657" s="19"/>
    </row>
    <row r="658" ht="15.75" customHeight="1">
      <c r="A658" s="19"/>
      <c r="B658" s="19"/>
      <c r="C658" s="19"/>
      <c r="D658" s="19"/>
      <c r="E658" s="19"/>
      <c r="F658" s="19"/>
    </row>
    <row r="659" ht="15.75" customHeight="1">
      <c r="A659" s="19"/>
      <c r="B659" s="19"/>
      <c r="C659" s="19"/>
      <c r="D659" s="19"/>
      <c r="E659" s="19"/>
      <c r="F659" s="19"/>
    </row>
    <row r="660" ht="15.75" customHeight="1">
      <c r="A660" s="19"/>
      <c r="B660" s="19"/>
      <c r="C660" s="19"/>
      <c r="D660" s="19"/>
      <c r="E660" s="19"/>
      <c r="F660" s="19"/>
    </row>
    <row r="661" ht="15.75" customHeight="1">
      <c r="A661" s="19"/>
      <c r="B661" s="19"/>
      <c r="C661" s="19"/>
      <c r="D661" s="19"/>
      <c r="E661" s="19"/>
      <c r="F661" s="19"/>
    </row>
    <row r="662" ht="15.75" customHeight="1">
      <c r="A662" s="19"/>
      <c r="B662" s="19"/>
      <c r="C662" s="19"/>
      <c r="D662" s="19"/>
      <c r="E662" s="19"/>
      <c r="F662" s="19"/>
    </row>
    <row r="663" ht="15.75" customHeight="1">
      <c r="A663" s="19"/>
      <c r="B663" s="19"/>
      <c r="C663" s="19"/>
      <c r="D663" s="19"/>
      <c r="E663" s="19"/>
      <c r="F663" s="19"/>
    </row>
    <row r="664" ht="15.75" customHeight="1">
      <c r="A664" s="19"/>
      <c r="B664" s="19"/>
      <c r="C664" s="19"/>
      <c r="D664" s="19"/>
      <c r="E664" s="19"/>
      <c r="F664" s="19"/>
    </row>
    <row r="665" ht="15.75" customHeight="1">
      <c r="A665" s="19"/>
      <c r="B665" s="19"/>
      <c r="C665" s="19"/>
      <c r="D665" s="19"/>
      <c r="E665" s="19"/>
      <c r="F665" s="19"/>
    </row>
    <row r="666" ht="15.75" customHeight="1">
      <c r="A666" s="19"/>
      <c r="B666" s="19"/>
      <c r="C666" s="19"/>
      <c r="D666" s="19"/>
      <c r="E666" s="19"/>
      <c r="F666" s="19"/>
    </row>
    <row r="667" ht="15.75" customHeight="1">
      <c r="A667" s="19"/>
      <c r="B667" s="19"/>
      <c r="C667" s="19"/>
      <c r="D667" s="19"/>
      <c r="E667" s="19"/>
      <c r="F667" s="19"/>
    </row>
    <row r="668" ht="15.75" customHeight="1">
      <c r="A668" s="19"/>
      <c r="B668" s="19"/>
      <c r="C668" s="19"/>
      <c r="D668" s="19"/>
      <c r="E668" s="19"/>
      <c r="F668" s="19"/>
    </row>
    <row r="669" ht="15.75" customHeight="1">
      <c r="A669" s="19"/>
      <c r="B669" s="19"/>
      <c r="C669" s="19"/>
      <c r="D669" s="19"/>
      <c r="E669" s="19"/>
      <c r="F669" s="19"/>
    </row>
    <row r="670" ht="15.75" customHeight="1">
      <c r="A670" s="19"/>
      <c r="B670" s="19"/>
      <c r="C670" s="19"/>
      <c r="D670" s="19"/>
      <c r="E670" s="19"/>
      <c r="F670" s="19"/>
    </row>
    <row r="671" ht="15.75" customHeight="1">
      <c r="A671" s="19"/>
      <c r="B671" s="19"/>
      <c r="C671" s="19"/>
      <c r="D671" s="19"/>
      <c r="E671" s="19"/>
      <c r="F671" s="19"/>
    </row>
    <row r="672" ht="15.75" customHeight="1">
      <c r="A672" s="19"/>
      <c r="B672" s="19"/>
      <c r="C672" s="19"/>
      <c r="D672" s="19"/>
      <c r="E672" s="19"/>
      <c r="F672" s="19"/>
    </row>
    <row r="673" ht="15.75" customHeight="1">
      <c r="A673" s="19"/>
      <c r="B673" s="19"/>
      <c r="C673" s="19"/>
      <c r="D673" s="19"/>
      <c r="E673" s="19"/>
      <c r="F673" s="19"/>
    </row>
    <row r="674" ht="15.75" customHeight="1">
      <c r="A674" s="19"/>
      <c r="B674" s="19"/>
      <c r="C674" s="19"/>
      <c r="D674" s="19"/>
      <c r="E674" s="19"/>
      <c r="F674" s="19"/>
    </row>
    <row r="675" ht="15.75" customHeight="1">
      <c r="A675" s="19"/>
      <c r="B675" s="19"/>
      <c r="C675" s="19"/>
      <c r="D675" s="19"/>
      <c r="E675" s="19"/>
      <c r="F675" s="19"/>
    </row>
    <row r="676" ht="15.75" customHeight="1">
      <c r="A676" s="19"/>
      <c r="B676" s="19"/>
      <c r="C676" s="19"/>
      <c r="D676" s="19"/>
      <c r="E676" s="19"/>
      <c r="F676" s="19"/>
    </row>
    <row r="677" ht="15.75" customHeight="1">
      <c r="A677" s="19"/>
      <c r="B677" s="19"/>
      <c r="C677" s="19"/>
      <c r="D677" s="19"/>
      <c r="E677" s="19"/>
      <c r="F677" s="19"/>
    </row>
    <row r="678" ht="15.75" customHeight="1">
      <c r="A678" s="19"/>
      <c r="B678" s="19"/>
      <c r="C678" s="19"/>
      <c r="D678" s="19"/>
      <c r="E678" s="19"/>
      <c r="F678" s="19"/>
    </row>
    <row r="679" ht="15.75" customHeight="1">
      <c r="A679" s="19"/>
      <c r="B679" s="19"/>
      <c r="C679" s="19"/>
      <c r="D679" s="19"/>
      <c r="E679" s="19"/>
      <c r="F679" s="19"/>
    </row>
    <row r="680" ht="15.75" customHeight="1">
      <c r="A680" s="19"/>
      <c r="B680" s="19"/>
      <c r="C680" s="19"/>
      <c r="D680" s="19"/>
      <c r="E680" s="19"/>
      <c r="F680" s="19"/>
    </row>
    <row r="681" ht="15.75" customHeight="1">
      <c r="A681" s="19"/>
      <c r="B681" s="19"/>
      <c r="C681" s="19"/>
      <c r="D681" s="19"/>
      <c r="E681" s="19"/>
      <c r="F681" s="19"/>
    </row>
    <row r="682" ht="15.75" customHeight="1">
      <c r="A682" s="19"/>
      <c r="B682" s="19"/>
      <c r="C682" s="19"/>
      <c r="D682" s="19"/>
      <c r="E682" s="19"/>
      <c r="F682" s="19"/>
    </row>
    <row r="683" ht="15.75" customHeight="1">
      <c r="A683" s="19"/>
      <c r="B683" s="19"/>
      <c r="C683" s="19"/>
      <c r="D683" s="19"/>
      <c r="E683" s="19"/>
      <c r="F683" s="19"/>
    </row>
    <row r="684" ht="15.75" customHeight="1">
      <c r="A684" s="19"/>
      <c r="B684" s="19"/>
      <c r="C684" s="19"/>
      <c r="D684" s="19"/>
      <c r="E684" s="19"/>
      <c r="F684" s="19"/>
    </row>
    <row r="685" ht="15.75" customHeight="1">
      <c r="A685" s="19"/>
      <c r="B685" s="19"/>
      <c r="C685" s="19"/>
      <c r="D685" s="19"/>
      <c r="E685" s="19"/>
      <c r="F685" s="19"/>
    </row>
    <row r="686" ht="15.75" customHeight="1">
      <c r="A686" s="19"/>
      <c r="B686" s="19"/>
      <c r="C686" s="19"/>
      <c r="D686" s="19"/>
      <c r="E686" s="19"/>
      <c r="F686" s="19"/>
    </row>
    <row r="687" ht="15.75" customHeight="1">
      <c r="A687" s="19"/>
      <c r="B687" s="19"/>
      <c r="C687" s="19"/>
      <c r="D687" s="19"/>
      <c r="E687" s="19"/>
      <c r="F687" s="19"/>
    </row>
    <row r="688" ht="15.75" customHeight="1">
      <c r="A688" s="19"/>
      <c r="B688" s="19"/>
      <c r="C688" s="19"/>
      <c r="D688" s="19"/>
      <c r="E688" s="19"/>
      <c r="F688" s="19"/>
    </row>
    <row r="689" ht="15.75" customHeight="1">
      <c r="A689" s="19"/>
      <c r="B689" s="19"/>
      <c r="C689" s="19"/>
      <c r="D689" s="19"/>
      <c r="E689" s="19"/>
      <c r="F689" s="19"/>
    </row>
    <row r="690" ht="15.75" customHeight="1">
      <c r="A690" s="19"/>
      <c r="B690" s="19"/>
      <c r="C690" s="19"/>
      <c r="D690" s="19"/>
      <c r="E690" s="19"/>
      <c r="F690" s="19"/>
    </row>
    <row r="691" ht="15.75" customHeight="1">
      <c r="A691" s="19"/>
      <c r="B691" s="19"/>
      <c r="C691" s="19"/>
      <c r="D691" s="19"/>
      <c r="E691" s="19"/>
      <c r="F691" s="19"/>
    </row>
    <row r="692" ht="15.75" customHeight="1">
      <c r="A692" s="19"/>
      <c r="B692" s="19"/>
      <c r="C692" s="19"/>
      <c r="D692" s="19"/>
      <c r="E692" s="19"/>
      <c r="F692" s="19"/>
    </row>
    <row r="693" ht="15.75" customHeight="1">
      <c r="A693" s="19"/>
      <c r="B693" s="19"/>
      <c r="C693" s="19"/>
      <c r="D693" s="19"/>
      <c r="E693" s="19"/>
      <c r="F693" s="19"/>
    </row>
    <row r="694" ht="15.75" customHeight="1">
      <c r="A694" s="19"/>
      <c r="B694" s="19"/>
      <c r="C694" s="19"/>
      <c r="D694" s="19"/>
      <c r="E694" s="19"/>
      <c r="F694" s="19"/>
    </row>
    <row r="695" ht="15.75" customHeight="1">
      <c r="A695" s="19"/>
      <c r="B695" s="19"/>
      <c r="C695" s="19"/>
      <c r="D695" s="19"/>
      <c r="E695" s="19"/>
      <c r="F695" s="19"/>
    </row>
    <row r="696" ht="15.75" customHeight="1">
      <c r="A696" s="19"/>
      <c r="B696" s="19"/>
      <c r="C696" s="19"/>
      <c r="D696" s="19"/>
      <c r="E696" s="19"/>
      <c r="F696" s="19"/>
    </row>
    <row r="697" ht="15.75" customHeight="1">
      <c r="A697" s="19"/>
      <c r="B697" s="19"/>
      <c r="C697" s="19"/>
      <c r="D697" s="19"/>
      <c r="E697" s="19"/>
      <c r="F697" s="19"/>
    </row>
    <row r="698" ht="15.75" customHeight="1">
      <c r="A698" s="19"/>
      <c r="B698" s="19"/>
      <c r="C698" s="19"/>
      <c r="D698" s="19"/>
      <c r="E698" s="19"/>
      <c r="F698" s="19"/>
    </row>
    <row r="699" ht="15.75" customHeight="1">
      <c r="A699" s="19"/>
      <c r="B699" s="19"/>
      <c r="C699" s="19"/>
      <c r="D699" s="19"/>
      <c r="E699" s="19"/>
      <c r="F699" s="19"/>
    </row>
    <row r="700" ht="15.75" customHeight="1">
      <c r="A700" s="19"/>
      <c r="B700" s="19"/>
      <c r="C700" s="19"/>
      <c r="D700" s="19"/>
      <c r="E700" s="19"/>
      <c r="F700" s="19"/>
    </row>
    <row r="701" ht="15.75" customHeight="1">
      <c r="A701" s="19"/>
      <c r="B701" s="19"/>
      <c r="C701" s="19"/>
      <c r="D701" s="19"/>
      <c r="E701" s="19"/>
      <c r="F701" s="19"/>
    </row>
    <row r="702" ht="15.75" customHeight="1">
      <c r="A702" s="19"/>
      <c r="B702" s="19"/>
      <c r="C702" s="19"/>
      <c r="D702" s="19"/>
      <c r="E702" s="19"/>
      <c r="F702" s="19"/>
    </row>
    <row r="703" ht="15.75" customHeight="1">
      <c r="A703" s="19"/>
      <c r="B703" s="19"/>
      <c r="C703" s="19"/>
      <c r="D703" s="19"/>
      <c r="E703" s="19"/>
      <c r="F703" s="19"/>
    </row>
    <row r="704" ht="15.75" customHeight="1">
      <c r="A704" s="19"/>
      <c r="B704" s="19"/>
      <c r="C704" s="19"/>
      <c r="D704" s="19"/>
      <c r="E704" s="19"/>
      <c r="F704" s="19"/>
    </row>
    <row r="705" ht="15.75" customHeight="1">
      <c r="A705" s="19"/>
      <c r="B705" s="19"/>
      <c r="C705" s="19"/>
      <c r="D705" s="19"/>
      <c r="E705" s="19"/>
      <c r="F705" s="19"/>
    </row>
    <row r="706" ht="15.75" customHeight="1">
      <c r="A706" s="19"/>
      <c r="B706" s="19"/>
      <c r="C706" s="19"/>
      <c r="D706" s="19"/>
      <c r="E706" s="19"/>
      <c r="F706" s="19"/>
    </row>
    <row r="707" ht="15.75" customHeight="1">
      <c r="A707" s="19"/>
      <c r="B707" s="19"/>
      <c r="C707" s="19"/>
      <c r="D707" s="19"/>
      <c r="E707" s="19"/>
      <c r="F707" s="19"/>
    </row>
    <row r="708" ht="15.75" customHeight="1">
      <c r="A708" s="19"/>
      <c r="B708" s="19"/>
      <c r="C708" s="19"/>
      <c r="D708" s="19"/>
      <c r="E708" s="19"/>
      <c r="F708" s="19"/>
    </row>
    <row r="709" ht="15.75" customHeight="1">
      <c r="A709" s="19"/>
      <c r="B709" s="19"/>
      <c r="C709" s="19"/>
      <c r="D709" s="19"/>
      <c r="E709" s="19"/>
      <c r="F709" s="19"/>
    </row>
    <row r="710" ht="15.75" customHeight="1">
      <c r="A710" s="19"/>
      <c r="B710" s="19"/>
      <c r="C710" s="19"/>
      <c r="D710" s="19"/>
      <c r="E710" s="19"/>
      <c r="F710" s="19"/>
    </row>
    <row r="711" ht="15.75" customHeight="1">
      <c r="A711" s="19"/>
      <c r="B711" s="19"/>
      <c r="C711" s="19"/>
      <c r="D711" s="19"/>
      <c r="E711" s="19"/>
      <c r="F711" s="19"/>
    </row>
    <row r="712" ht="15.75" customHeight="1">
      <c r="A712" s="19"/>
      <c r="B712" s="19"/>
      <c r="C712" s="19"/>
      <c r="D712" s="19"/>
      <c r="E712" s="19"/>
      <c r="F712" s="19"/>
    </row>
    <row r="713" ht="15.75" customHeight="1">
      <c r="A713" s="19"/>
      <c r="B713" s="19"/>
      <c r="C713" s="19"/>
      <c r="D713" s="19"/>
      <c r="E713" s="19"/>
      <c r="F713" s="19"/>
    </row>
    <row r="714" ht="15.75" customHeight="1">
      <c r="A714" s="19"/>
      <c r="B714" s="19"/>
      <c r="C714" s="19"/>
      <c r="D714" s="19"/>
      <c r="E714" s="19"/>
      <c r="F714" s="19"/>
    </row>
    <row r="715" ht="15.75" customHeight="1">
      <c r="A715" s="19"/>
      <c r="B715" s="19"/>
      <c r="C715" s="19"/>
      <c r="D715" s="19"/>
      <c r="E715" s="19"/>
      <c r="F715" s="19"/>
    </row>
    <row r="716" ht="15.75" customHeight="1">
      <c r="A716" s="19"/>
      <c r="B716" s="19"/>
      <c r="C716" s="19"/>
      <c r="D716" s="19"/>
      <c r="E716" s="19"/>
      <c r="F716" s="19"/>
    </row>
    <row r="717" ht="15.75" customHeight="1">
      <c r="A717" s="19"/>
      <c r="B717" s="19"/>
      <c r="C717" s="19"/>
      <c r="D717" s="19"/>
      <c r="E717" s="19"/>
      <c r="F717" s="19"/>
    </row>
    <row r="718" ht="15.75" customHeight="1">
      <c r="A718" s="19"/>
      <c r="B718" s="19"/>
      <c r="C718" s="19"/>
      <c r="D718" s="19"/>
      <c r="E718" s="19"/>
      <c r="F718" s="19"/>
    </row>
    <row r="719" ht="15.75" customHeight="1">
      <c r="A719" s="19"/>
      <c r="B719" s="19"/>
      <c r="C719" s="19"/>
      <c r="D719" s="19"/>
      <c r="E719" s="19"/>
      <c r="F719" s="19"/>
    </row>
    <row r="720" ht="15.75" customHeight="1">
      <c r="A720" s="19"/>
      <c r="B720" s="19"/>
      <c r="C720" s="19"/>
      <c r="D720" s="19"/>
      <c r="E720" s="19"/>
      <c r="F720" s="19"/>
    </row>
    <row r="721" ht="15.75" customHeight="1">
      <c r="A721" s="19"/>
      <c r="B721" s="19"/>
      <c r="C721" s="19"/>
      <c r="D721" s="19"/>
      <c r="E721" s="19"/>
      <c r="F721" s="19"/>
    </row>
    <row r="722" ht="15.75" customHeight="1">
      <c r="A722" s="19"/>
      <c r="B722" s="19"/>
      <c r="C722" s="19"/>
      <c r="D722" s="19"/>
      <c r="E722" s="19"/>
      <c r="F722" s="19"/>
    </row>
    <row r="723" ht="15.75" customHeight="1">
      <c r="A723" s="19"/>
      <c r="B723" s="19"/>
      <c r="C723" s="19"/>
      <c r="D723" s="19"/>
      <c r="E723" s="19"/>
      <c r="F723" s="19"/>
    </row>
    <row r="724" ht="15.75" customHeight="1">
      <c r="A724" s="19"/>
      <c r="B724" s="19"/>
      <c r="C724" s="19"/>
      <c r="D724" s="19"/>
      <c r="E724" s="19"/>
      <c r="F724" s="19"/>
    </row>
    <row r="725" ht="15.75" customHeight="1">
      <c r="A725" s="19"/>
      <c r="B725" s="19"/>
      <c r="C725" s="19"/>
      <c r="D725" s="19"/>
      <c r="E725" s="19"/>
      <c r="F725" s="19"/>
    </row>
    <row r="726" ht="15.75" customHeight="1">
      <c r="A726" s="19"/>
      <c r="B726" s="19"/>
      <c r="C726" s="19"/>
      <c r="D726" s="19"/>
      <c r="E726" s="19"/>
      <c r="F726" s="19"/>
    </row>
    <row r="727" ht="15.75" customHeight="1">
      <c r="A727" s="19"/>
      <c r="B727" s="19"/>
      <c r="C727" s="19"/>
      <c r="D727" s="19"/>
      <c r="E727" s="19"/>
      <c r="F727" s="19"/>
    </row>
    <row r="728" ht="15.75" customHeight="1">
      <c r="A728" s="19"/>
      <c r="B728" s="19"/>
      <c r="C728" s="19"/>
      <c r="D728" s="19"/>
      <c r="E728" s="19"/>
      <c r="F728" s="19"/>
    </row>
    <row r="729" ht="15.75" customHeight="1">
      <c r="A729" s="19"/>
      <c r="B729" s="19"/>
      <c r="C729" s="19"/>
      <c r="D729" s="19"/>
      <c r="E729" s="19"/>
      <c r="F729" s="19"/>
    </row>
    <row r="730" ht="15.75" customHeight="1">
      <c r="A730" s="19"/>
      <c r="B730" s="19"/>
      <c r="C730" s="19"/>
      <c r="D730" s="19"/>
      <c r="E730" s="19"/>
      <c r="F730" s="19"/>
    </row>
    <row r="731" ht="15.75" customHeight="1">
      <c r="A731" s="19"/>
      <c r="B731" s="19"/>
      <c r="C731" s="19"/>
      <c r="D731" s="19"/>
      <c r="E731" s="19"/>
      <c r="F731" s="19"/>
    </row>
    <row r="732" ht="15.75" customHeight="1">
      <c r="A732" s="19"/>
      <c r="B732" s="19"/>
      <c r="C732" s="19"/>
      <c r="D732" s="19"/>
      <c r="E732" s="19"/>
      <c r="F732" s="19"/>
    </row>
    <row r="733" ht="15.75" customHeight="1">
      <c r="A733" s="19"/>
      <c r="B733" s="19"/>
      <c r="C733" s="19"/>
      <c r="D733" s="19"/>
      <c r="E733" s="19"/>
      <c r="F733" s="19"/>
    </row>
    <row r="734" ht="15.75" customHeight="1">
      <c r="A734" s="19"/>
      <c r="B734" s="19"/>
      <c r="C734" s="19"/>
      <c r="D734" s="19"/>
      <c r="E734" s="19"/>
      <c r="F734" s="19"/>
    </row>
    <row r="735" ht="15.75" customHeight="1">
      <c r="A735" s="19"/>
      <c r="B735" s="19"/>
      <c r="C735" s="19"/>
      <c r="D735" s="19"/>
      <c r="E735" s="19"/>
      <c r="F735" s="19"/>
    </row>
    <row r="736" ht="15.75" customHeight="1">
      <c r="A736" s="19"/>
      <c r="B736" s="19"/>
      <c r="C736" s="19"/>
      <c r="D736" s="19"/>
      <c r="E736" s="19"/>
      <c r="F736" s="19"/>
    </row>
    <row r="737" ht="15.75" customHeight="1">
      <c r="A737" s="19"/>
      <c r="B737" s="19"/>
      <c r="C737" s="19"/>
      <c r="D737" s="19"/>
      <c r="E737" s="19"/>
      <c r="F737" s="19"/>
    </row>
    <row r="738" ht="15.75" customHeight="1">
      <c r="A738" s="19"/>
      <c r="B738" s="19"/>
      <c r="C738" s="19"/>
      <c r="D738" s="19"/>
      <c r="E738" s="19"/>
      <c r="F738" s="19"/>
    </row>
    <row r="739" ht="15.75" customHeight="1">
      <c r="A739" s="19"/>
      <c r="B739" s="19"/>
      <c r="C739" s="19"/>
      <c r="D739" s="19"/>
      <c r="E739" s="19"/>
      <c r="F739" s="19"/>
    </row>
    <row r="740" ht="15.75" customHeight="1">
      <c r="A740" s="19"/>
      <c r="B740" s="19"/>
      <c r="C740" s="19"/>
      <c r="D740" s="19"/>
      <c r="E740" s="19"/>
      <c r="F740" s="19"/>
    </row>
    <row r="741" ht="15.75" customHeight="1">
      <c r="A741" s="19"/>
      <c r="B741" s="19"/>
      <c r="C741" s="19"/>
      <c r="D741" s="19"/>
      <c r="E741" s="19"/>
      <c r="F741" s="19"/>
    </row>
    <row r="742" ht="15.75" customHeight="1">
      <c r="A742" s="19"/>
      <c r="B742" s="19"/>
      <c r="C742" s="19"/>
      <c r="D742" s="19"/>
      <c r="E742" s="19"/>
      <c r="F742" s="19"/>
    </row>
    <row r="743" ht="15.75" customHeight="1">
      <c r="A743" s="19"/>
      <c r="B743" s="19"/>
      <c r="C743" s="19"/>
      <c r="D743" s="19"/>
      <c r="E743" s="19"/>
      <c r="F743" s="19"/>
    </row>
    <row r="744" ht="15.75" customHeight="1">
      <c r="A744" s="19"/>
      <c r="B744" s="19"/>
      <c r="C744" s="19"/>
      <c r="D744" s="19"/>
      <c r="E744" s="19"/>
      <c r="F744" s="19"/>
    </row>
    <row r="745" ht="15.75" customHeight="1">
      <c r="A745" s="19"/>
      <c r="B745" s="19"/>
      <c r="C745" s="19"/>
      <c r="D745" s="19"/>
      <c r="E745" s="19"/>
      <c r="F745" s="19"/>
    </row>
    <row r="746" ht="15.75" customHeight="1">
      <c r="A746" s="19"/>
      <c r="B746" s="19"/>
      <c r="C746" s="19"/>
      <c r="D746" s="19"/>
      <c r="E746" s="19"/>
      <c r="F746" s="19"/>
    </row>
    <row r="747" ht="15.75" customHeight="1">
      <c r="A747" s="19"/>
      <c r="B747" s="19"/>
      <c r="C747" s="19"/>
      <c r="D747" s="19"/>
      <c r="E747" s="19"/>
      <c r="F747" s="19"/>
    </row>
    <row r="748" ht="15.75" customHeight="1">
      <c r="A748" s="19"/>
      <c r="B748" s="19"/>
      <c r="C748" s="19"/>
      <c r="D748" s="19"/>
      <c r="E748" s="19"/>
      <c r="F748" s="19"/>
    </row>
    <row r="749" ht="15.75" customHeight="1">
      <c r="A749" s="19"/>
      <c r="B749" s="19"/>
      <c r="C749" s="19"/>
      <c r="D749" s="19"/>
      <c r="E749" s="19"/>
      <c r="F749" s="19"/>
    </row>
    <row r="750" ht="15.75" customHeight="1">
      <c r="A750" s="19"/>
      <c r="B750" s="19"/>
      <c r="C750" s="19"/>
      <c r="D750" s="19"/>
      <c r="E750" s="19"/>
      <c r="F750" s="19"/>
    </row>
    <row r="751" ht="15.75" customHeight="1">
      <c r="A751" s="19"/>
      <c r="B751" s="19"/>
      <c r="C751" s="19"/>
      <c r="D751" s="19"/>
      <c r="E751" s="19"/>
      <c r="F751" s="19"/>
    </row>
    <row r="752" ht="15.75" customHeight="1">
      <c r="A752" s="19"/>
      <c r="B752" s="19"/>
      <c r="C752" s="19"/>
      <c r="D752" s="19"/>
      <c r="E752" s="19"/>
      <c r="F752" s="19"/>
    </row>
    <row r="753" ht="15.75" customHeight="1">
      <c r="A753" s="19"/>
      <c r="B753" s="19"/>
      <c r="C753" s="19"/>
      <c r="D753" s="19"/>
      <c r="E753" s="19"/>
      <c r="F753" s="19"/>
    </row>
    <row r="754" ht="15.75" customHeight="1">
      <c r="A754" s="19"/>
      <c r="B754" s="19"/>
      <c r="C754" s="19"/>
      <c r="D754" s="19"/>
      <c r="E754" s="19"/>
      <c r="F754" s="19"/>
    </row>
    <row r="755" ht="15.75" customHeight="1">
      <c r="A755" s="19"/>
      <c r="B755" s="19"/>
      <c r="C755" s="19"/>
      <c r="D755" s="19"/>
      <c r="E755" s="19"/>
      <c r="F755" s="19"/>
    </row>
    <row r="756" ht="15.75" customHeight="1">
      <c r="A756" s="19"/>
      <c r="B756" s="19"/>
      <c r="C756" s="19"/>
      <c r="D756" s="19"/>
      <c r="E756" s="19"/>
      <c r="F756" s="19"/>
    </row>
    <row r="757" ht="15.75" customHeight="1">
      <c r="A757" s="19"/>
      <c r="B757" s="19"/>
      <c r="C757" s="19"/>
      <c r="D757" s="19"/>
      <c r="E757" s="19"/>
      <c r="F757" s="19"/>
    </row>
    <row r="758" ht="15.75" customHeight="1">
      <c r="A758" s="19"/>
      <c r="B758" s="19"/>
      <c r="C758" s="19"/>
      <c r="D758" s="19"/>
      <c r="E758" s="19"/>
      <c r="F758" s="19"/>
    </row>
    <row r="759" ht="15.75" customHeight="1">
      <c r="A759" s="19"/>
      <c r="B759" s="19"/>
      <c r="C759" s="19"/>
      <c r="D759" s="19"/>
      <c r="E759" s="19"/>
      <c r="F759" s="19"/>
    </row>
    <row r="760" ht="15.75" customHeight="1">
      <c r="A760" s="19"/>
      <c r="B760" s="19"/>
      <c r="C760" s="19"/>
      <c r="D760" s="19"/>
      <c r="E760" s="19"/>
      <c r="F760" s="19"/>
    </row>
    <row r="761" ht="15.75" customHeight="1">
      <c r="A761" s="19"/>
      <c r="B761" s="19"/>
      <c r="C761" s="19"/>
      <c r="D761" s="19"/>
      <c r="E761" s="19"/>
      <c r="F761" s="19"/>
    </row>
    <row r="762" ht="15.75" customHeight="1">
      <c r="A762" s="19"/>
      <c r="B762" s="19"/>
      <c r="C762" s="19"/>
      <c r="D762" s="19"/>
      <c r="E762" s="19"/>
      <c r="F762" s="19"/>
    </row>
    <row r="763" ht="15.75" customHeight="1">
      <c r="A763" s="19"/>
      <c r="B763" s="19"/>
      <c r="C763" s="19"/>
      <c r="D763" s="19"/>
      <c r="E763" s="19"/>
      <c r="F763" s="19"/>
    </row>
    <row r="764" ht="15.75" customHeight="1">
      <c r="A764" s="19"/>
      <c r="B764" s="19"/>
      <c r="C764" s="19"/>
      <c r="D764" s="19"/>
      <c r="E764" s="19"/>
      <c r="F764" s="19"/>
    </row>
    <row r="765" ht="15.75" customHeight="1">
      <c r="A765" s="19"/>
      <c r="B765" s="19"/>
      <c r="C765" s="19"/>
      <c r="D765" s="19"/>
      <c r="E765" s="19"/>
      <c r="F765" s="19"/>
    </row>
    <row r="766" ht="15.75" customHeight="1">
      <c r="A766" s="19"/>
      <c r="B766" s="19"/>
      <c r="C766" s="19"/>
      <c r="D766" s="19"/>
      <c r="E766" s="19"/>
      <c r="F766" s="19"/>
    </row>
    <row r="767" ht="15.75" customHeight="1">
      <c r="A767" s="19"/>
      <c r="B767" s="19"/>
      <c r="C767" s="19"/>
      <c r="D767" s="19"/>
      <c r="E767" s="19"/>
      <c r="F767" s="19"/>
    </row>
    <row r="768" ht="15.75" customHeight="1">
      <c r="A768" s="19"/>
      <c r="B768" s="19"/>
      <c r="C768" s="19"/>
      <c r="D768" s="19"/>
      <c r="E768" s="19"/>
      <c r="F768" s="19"/>
    </row>
    <row r="769" ht="15.75" customHeight="1">
      <c r="A769" s="19"/>
      <c r="B769" s="19"/>
      <c r="C769" s="19"/>
      <c r="D769" s="19"/>
      <c r="E769" s="19"/>
      <c r="F769" s="19"/>
    </row>
    <row r="770" ht="15.75" customHeight="1">
      <c r="A770" s="19"/>
      <c r="B770" s="19"/>
      <c r="C770" s="19"/>
      <c r="D770" s="19"/>
      <c r="E770" s="19"/>
      <c r="F770" s="19"/>
    </row>
    <row r="771" ht="15.75" customHeight="1">
      <c r="A771" s="19"/>
      <c r="B771" s="19"/>
      <c r="C771" s="19"/>
      <c r="D771" s="19"/>
      <c r="E771" s="19"/>
      <c r="F771" s="19"/>
    </row>
    <row r="772" ht="15.75" customHeight="1">
      <c r="A772" s="19"/>
      <c r="B772" s="19"/>
      <c r="C772" s="19"/>
      <c r="D772" s="19"/>
      <c r="E772" s="19"/>
      <c r="F772" s="19"/>
    </row>
    <row r="773" ht="15.75" customHeight="1">
      <c r="A773" s="19"/>
      <c r="B773" s="19"/>
      <c r="C773" s="19"/>
      <c r="D773" s="19"/>
      <c r="E773" s="19"/>
      <c r="F773" s="19"/>
    </row>
    <row r="774" ht="15.75" customHeight="1">
      <c r="A774" s="19"/>
      <c r="B774" s="19"/>
      <c r="C774" s="19"/>
      <c r="D774" s="19"/>
      <c r="E774" s="19"/>
      <c r="F774" s="19"/>
    </row>
    <row r="775" ht="15.75" customHeight="1">
      <c r="A775" s="19"/>
      <c r="B775" s="19"/>
      <c r="C775" s="19"/>
      <c r="D775" s="19"/>
      <c r="E775" s="19"/>
      <c r="F775" s="19"/>
    </row>
    <row r="776" ht="15.75" customHeight="1">
      <c r="A776" s="19"/>
      <c r="B776" s="19"/>
      <c r="C776" s="19"/>
      <c r="D776" s="19"/>
      <c r="E776" s="19"/>
      <c r="F776" s="19"/>
    </row>
    <row r="777" ht="15.75" customHeight="1">
      <c r="A777" s="19"/>
      <c r="B777" s="19"/>
      <c r="C777" s="19"/>
      <c r="D777" s="19"/>
      <c r="E777" s="19"/>
      <c r="F777" s="19"/>
    </row>
    <row r="778" ht="15.75" customHeight="1">
      <c r="A778" s="19"/>
      <c r="B778" s="19"/>
      <c r="C778" s="19"/>
      <c r="D778" s="19"/>
      <c r="E778" s="19"/>
      <c r="F778" s="19"/>
    </row>
    <row r="779" ht="15.75" customHeight="1">
      <c r="A779" s="19"/>
      <c r="B779" s="19"/>
      <c r="C779" s="19"/>
      <c r="D779" s="19"/>
      <c r="E779" s="19"/>
      <c r="F779" s="19"/>
    </row>
    <row r="780" ht="15.75" customHeight="1">
      <c r="A780" s="19"/>
      <c r="B780" s="19"/>
      <c r="C780" s="19"/>
      <c r="D780" s="19"/>
      <c r="E780" s="19"/>
      <c r="F780" s="19"/>
    </row>
    <row r="781" ht="15.75" customHeight="1">
      <c r="A781" s="19"/>
      <c r="B781" s="19"/>
      <c r="C781" s="19"/>
      <c r="D781" s="19"/>
      <c r="E781" s="19"/>
      <c r="F781" s="19"/>
    </row>
    <row r="782" ht="15.75" customHeight="1">
      <c r="A782" s="19"/>
      <c r="B782" s="19"/>
      <c r="C782" s="19"/>
      <c r="D782" s="19"/>
      <c r="E782" s="19"/>
      <c r="F782" s="19"/>
    </row>
    <row r="783" ht="15.75" customHeight="1">
      <c r="A783" s="19"/>
      <c r="B783" s="19"/>
      <c r="C783" s="19"/>
      <c r="D783" s="19"/>
      <c r="E783" s="19"/>
      <c r="F783" s="19"/>
    </row>
    <row r="784" ht="15.75" customHeight="1">
      <c r="A784" s="19"/>
      <c r="B784" s="19"/>
      <c r="C784" s="19"/>
      <c r="D784" s="19"/>
      <c r="E784" s="19"/>
      <c r="F784" s="19"/>
    </row>
    <row r="785" ht="15.75" customHeight="1">
      <c r="A785" s="19"/>
      <c r="B785" s="19"/>
      <c r="C785" s="19"/>
      <c r="D785" s="19"/>
      <c r="E785" s="19"/>
      <c r="F785" s="19"/>
    </row>
    <row r="786" ht="15.75" customHeight="1">
      <c r="A786" s="19"/>
      <c r="B786" s="19"/>
      <c r="C786" s="19"/>
      <c r="D786" s="19"/>
      <c r="E786" s="19"/>
      <c r="F786" s="19"/>
    </row>
    <row r="787" ht="15.75" customHeight="1">
      <c r="A787" s="19"/>
      <c r="B787" s="19"/>
      <c r="C787" s="19"/>
      <c r="D787" s="19"/>
      <c r="E787" s="19"/>
      <c r="F787" s="19"/>
    </row>
    <row r="788" ht="15.75" customHeight="1">
      <c r="A788" s="19"/>
      <c r="B788" s="19"/>
      <c r="C788" s="19"/>
      <c r="D788" s="19"/>
      <c r="E788" s="19"/>
      <c r="F788" s="19"/>
    </row>
    <row r="789" ht="15.75" customHeight="1">
      <c r="A789" s="19"/>
      <c r="B789" s="19"/>
      <c r="C789" s="19"/>
      <c r="D789" s="19"/>
      <c r="E789" s="19"/>
      <c r="F789" s="19"/>
    </row>
    <row r="790" ht="15.75" customHeight="1">
      <c r="A790" s="19"/>
      <c r="B790" s="19"/>
      <c r="C790" s="19"/>
      <c r="D790" s="19"/>
      <c r="E790" s="19"/>
      <c r="F790" s="19"/>
    </row>
    <row r="791" ht="15.75" customHeight="1">
      <c r="A791" s="19"/>
      <c r="B791" s="19"/>
      <c r="C791" s="19"/>
      <c r="D791" s="19"/>
      <c r="E791" s="19"/>
      <c r="F791" s="19"/>
    </row>
    <row r="792" ht="15.75" customHeight="1">
      <c r="A792" s="19"/>
      <c r="B792" s="19"/>
      <c r="C792" s="19"/>
      <c r="D792" s="19"/>
      <c r="E792" s="19"/>
      <c r="F792" s="19"/>
    </row>
    <row r="793" ht="15.75" customHeight="1">
      <c r="A793" s="19"/>
      <c r="B793" s="19"/>
      <c r="C793" s="19"/>
      <c r="D793" s="19"/>
      <c r="E793" s="19"/>
      <c r="F793" s="19"/>
    </row>
    <row r="794" ht="15.75" customHeight="1">
      <c r="A794" s="19"/>
      <c r="B794" s="19"/>
      <c r="C794" s="19"/>
      <c r="D794" s="19"/>
      <c r="E794" s="19"/>
      <c r="F794" s="19"/>
    </row>
    <row r="795" ht="15.75" customHeight="1">
      <c r="A795" s="19"/>
      <c r="B795" s="19"/>
      <c r="C795" s="19"/>
      <c r="D795" s="19"/>
      <c r="E795" s="19"/>
      <c r="F795" s="19"/>
    </row>
    <row r="796" ht="15.75" customHeight="1">
      <c r="A796" s="19"/>
      <c r="B796" s="19"/>
      <c r="C796" s="19"/>
      <c r="D796" s="19"/>
      <c r="E796" s="19"/>
      <c r="F796" s="19"/>
    </row>
    <row r="797" ht="15.75" customHeight="1">
      <c r="A797" s="19"/>
      <c r="B797" s="19"/>
      <c r="C797" s="19"/>
      <c r="D797" s="19"/>
      <c r="E797" s="19"/>
      <c r="F797" s="19"/>
    </row>
    <row r="798" ht="15.75" customHeight="1">
      <c r="A798" s="19"/>
      <c r="B798" s="19"/>
      <c r="C798" s="19"/>
      <c r="D798" s="19"/>
      <c r="E798" s="19"/>
      <c r="F798" s="19"/>
    </row>
    <row r="799" ht="15.75" customHeight="1">
      <c r="A799" s="19"/>
      <c r="B799" s="19"/>
      <c r="C799" s="19"/>
      <c r="D799" s="19"/>
      <c r="E799" s="19"/>
      <c r="F799" s="19"/>
    </row>
    <row r="800" ht="15.75" customHeight="1">
      <c r="A800" s="19"/>
      <c r="B800" s="19"/>
      <c r="C800" s="19"/>
      <c r="D800" s="19"/>
      <c r="E800" s="19"/>
      <c r="F800" s="19"/>
    </row>
    <row r="801" ht="15.75" customHeight="1">
      <c r="A801" s="19"/>
      <c r="B801" s="19"/>
      <c r="C801" s="19"/>
      <c r="D801" s="19"/>
      <c r="E801" s="19"/>
      <c r="F801" s="19"/>
    </row>
    <row r="802" ht="15.75" customHeight="1">
      <c r="A802" s="19"/>
      <c r="B802" s="19"/>
      <c r="C802" s="19"/>
      <c r="D802" s="19"/>
      <c r="E802" s="19"/>
      <c r="F802" s="19"/>
    </row>
    <row r="803" ht="15.75" customHeight="1">
      <c r="A803" s="19"/>
      <c r="B803" s="19"/>
      <c r="C803" s="19"/>
      <c r="D803" s="19"/>
      <c r="E803" s="19"/>
      <c r="F803" s="19"/>
    </row>
    <row r="804" ht="15.75" customHeight="1">
      <c r="A804" s="19"/>
      <c r="B804" s="19"/>
      <c r="C804" s="19"/>
      <c r="D804" s="19"/>
      <c r="E804" s="19"/>
      <c r="F804" s="19"/>
    </row>
    <row r="805" ht="15.75" customHeight="1">
      <c r="A805" s="19"/>
      <c r="B805" s="19"/>
      <c r="C805" s="19"/>
      <c r="D805" s="19"/>
      <c r="E805" s="19"/>
      <c r="F805" s="19"/>
    </row>
    <row r="806" ht="15.75" customHeight="1">
      <c r="A806" s="19"/>
      <c r="B806" s="19"/>
      <c r="C806" s="19"/>
      <c r="D806" s="19"/>
      <c r="E806" s="19"/>
      <c r="F806" s="19"/>
    </row>
    <row r="807" ht="15.75" customHeight="1">
      <c r="A807" s="19"/>
      <c r="B807" s="19"/>
      <c r="C807" s="19"/>
      <c r="D807" s="19"/>
      <c r="E807" s="19"/>
      <c r="F807" s="19"/>
    </row>
    <row r="808" ht="15.75" customHeight="1">
      <c r="A808" s="19"/>
      <c r="B808" s="19"/>
      <c r="C808" s="19"/>
      <c r="D808" s="19"/>
      <c r="E808" s="19"/>
      <c r="F808" s="19"/>
    </row>
    <row r="809" ht="15.75" customHeight="1">
      <c r="A809" s="19"/>
      <c r="B809" s="19"/>
      <c r="C809" s="19"/>
      <c r="D809" s="19"/>
      <c r="E809" s="19"/>
      <c r="F809" s="19"/>
    </row>
    <row r="810" ht="15.75" customHeight="1">
      <c r="A810" s="19"/>
      <c r="B810" s="19"/>
      <c r="C810" s="19"/>
      <c r="D810" s="19"/>
      <c r="E810" s="19"/>
      <c r="F810" s="19"/>
    </row>
    <row r="811" ht="15.75" customHeight="1">
      <c r="A811" s="19"/>
      <c r="B811" s="19"/>
      <c r="C811" s="19"/>
      <c r="D811" s="19"/>
      <c r="E811" s="19"/>
      <c r="F811" s="19"/>
    </row>
    <row r="812" ht="15.75" customHeight="1">
      <c r="A812" s="19"/>
      <c r="B812" s="19"/>
      <c r="C812" s="19"/>
      <c r="D812" s="19"/>
      <c r="E812" s="19"/>
      <c r="F812" s="19"/>
    </row>
    <row r="813" ht="15.75" customHeight="1">
      <c r="A813" s="19"/>
      <c r="B813" s="19"/>
      <c r="C813" s="19"/>
      <c r="D813" s="19"/>
      <c r="E813" s="19"/>
      <c r="F813" s="19"/>
    </row>
    <row r="814" ht="15.75" customHeight="1">
      <c r="A814" s="19"/>
      <c r="B814" s="19"/>
      <c r="C814" s="19"/>
      <c r="D814" s="19"/>
      <c r="E814" s="19"/>
      <c r="F814" s="19"/>
    </row>
    <row r="815" ht="15.75" customHeight="1">
      <c r="A815" s="19"/>
      <c r="B815" s="19"/>
      <c r="C815" s="19"/>
      <c r="D815" s="19"/>
      <c r="E815" s="19"/>
      <c r="F815" s="19"/>
    </row>
    <row r="816" ht="15.75" customHeight="1">
      <c r="A816" s="19"/>
      <c r="B816" s="19"/>
      <c r="C816" s="19"/>
      <c r="D816" s="19"/>
      <c r="E816" s="19"/>
      <c r="F816" s="19"/>
    </row>
    <row r="817" ht="15.75" customHeight="1">
      <c r="A817" s="19"/>
      <c r="B817" s="19"/>
      <c r="C817" s="19"/>
      <c r="D817" s="19"/>
      <c r="E817" s="19"/>
      <c r="F817" s="19"/>
    </row>
    <row r="818" ht="15.75" customHeight="1">
      <c r="A818" s="19"/>
      <c r="B818" s="19"/>
      <c r="C818" s="19"/>
      <c r="D818" s="19"/>
      <c r="E818" s="19"/>
      <c r="F818" s="19"/>
    </row>
    <row r="819" ht="15.75" customHeight="1">
      <c r="A819" s="19"/>
      <c r="B819" s="19"/>
      <c r="C819" s="19"/>
      <c r="D819" s="19"/>
      <c r="E819" s="19"/>
      <c r="F819" s="19"/>
    </row>
    <row r="820" ht="15.75" customHeight="1">
      <c r="A820" s="19"/>
      <c r="B820" s="19"/>
      <c r="C820" s="19"/>
      <c r="D820" s="19"/>
      <c r="E820" s="19"/>
      <c r="F820" s="19"/>
    </row>
    <row r="821" ht="15.75" customHeight="1">
      <c r="A821" s="19"/>
      <c r="B821" s="19"/>
      <c r="C821" s="19"/>
      <c r="D821" s="19"/>
      <c r="E821" s="19"/>
      <c r="F821" s="19"/>
    </row>
    <row r="822" ht="15.75" customHeight="1">
      <c r="A822" s="19"/>
      <c r="B822" s="19"/>
      <c r="C822" s="19"/>
      <c r="D822" s="19"/>
      <c r="E822" s="19"/>
      <c r="F822" s="19"/>
    </row>
    <row r="823" ht="15.75" customHeight="1">
      <c r="A823" s="19"/>
      <c r="B823" s="19"/>
      <c r="C823" s="19"/>
      <c r="D823" s="19"/>
      <c r="E823" s="19"/>
      <c r="F823" s="19"/>
    </row>
    <row r="824" ht="15.75" customHeight="1">
      <c r="A824" s="19"/>
      <c r="B824" s="19"/>
      <c r="C824" s="19"/>
      <c r="D824" s="19"/>
      <c r="E824" s="19"/>
      <c r="F824" s="19"/>
    </row>
    <row r="825" ht="15.75" customHeight="1">
      <c r="A825" s="19"/>
      <c r="B825" s="19"/>
      <c r="C825" s="19"/>
      <c r="D825" s="19"/>
      <c r="E825" s="19"/>
      <c r="F825" s="19"/>
    </row>
    <row r="826" ht="15.75" customHeight="1">
      <c r="A826" s="19"/>
      <c r="B826" s="19"/>
      <c r="C826" s="19"/>
      <c r="D826" s="19"/>
      <c r="E826" s="19"/>
      <c r="F826" s="19"/>
    </row>
    <row r="827" ht="15.75" customHeight="1">
      <c r="A827" s="19"/>
      <c r="B827" s="19"/>
      <c r="C827" s="19"/>
      <c r="D827" s="19"/>
      <c r="E827" s="19"/>
      <c r="F827" s="19"/>
    </row>
    <row r="828" ht="15.75" customHeight="1">
      <c r="A828" s="19"/>
      <c r="B828" s="19"/>
      <c r="C828" s="19"/>
      <c r="D828" s="19"/>
      <c r="E828" s="19"/>
      <c r="F828" s="19"/>
    </row>
    <row r="829" ht="15.75" customHeight="1">
      <c r="A829" s="19"/>
      <c r="B829" s="19"/>
      <c r="C829" s="19"/>
      <c r="D829" s="19"/>
      <c r="E829" s="19"/>
      <c r="F829" s="19"/>
    </row>
    <row r="830" ht="15.75" customHeight="1">
      <c r="A830" s="19"/>
      <c r="B830" s="19"/>
      <c r="C830" s="19"/>
      <c r="D830" s="19"/>
      <c r="E830" s="19"/>
      <c r="F830" s="19"/>
    </row>
    <row r="831" ht="15.75" customHeight="1">
      <c r="A831" s="19"/>
      <c r="B831" s="19"/>
      <c r="C831" s="19"/>
      <c r="D831" s="19"/>
      <c r="E831" s="19"/>
      <c r="F831" s="19"/>
    </row>
    <row r="832" ht="15.75" customHeight="1">
      <c r="A832" s="19"/>
      <c r="B832" s="19"/>
      <c r="C832" s="19"/>
      <c r="D832" s="19"/>
      <c r="E832" s="19"/>
      <c r="F832" s="19"/>
    </row>
    <row r="833" ht="15.75" customHeight="1">
      <c r="A833" s="19"/>
      <c r="B833" s="19"/>
      <c r="C833" s="19"/>
      <c r="D833" s="19"/>
      <c r="E833" s="19"/>
      <c r="F833" s="19"/>
    </row>
    <row r="834" ht="15.75" customHeight="1">
      <c r="A834" s="19"/>
      <c r="B834" s="19"/>
      <c r="C834" s="19"/>
      <c r="D834" s="19"/>
      <c r="E834" s="19"/>
      <c r="F834" s="19"/>
    </row>
    <row r="835" ht="15.75" customHeight="1">
      <c r="A835" s="19"/>
      <c r="B835" s="19"/>
      <c r="C835" s="19"/>
      <c r="D835" s="19"/>
      <c r="E835" s="19"/>
      <c r="F835" s="19"/>
    </row>
    <row r="836" ht="15.75" customHeight="1">
      <c r="A836" s="19"/>
      <c r="B836" s="19"/>
      <c r="C836" s="19"/>
      <c r="D836" s="19"/>
      <c r="E836" s="19"/>
      <c r="F836" s="19"/>
    </row>
    <row r="837" ht="15.75" customHeight="1">
      <c r="A837" s="19"/>
      <c r="B837" s="19"/>
      <c r="C837" s="19"/>
      <c r="D837" s="19"/>
      <c r="E837" s="19"/>
      <c r="F837" s="19"/>
    </row>
    <row r="838" ht="15.75" customHeight="1">
      <c r="A838" s="19"/>
      <c r="B838" s="19"/>
      <c r="C838" s="19"/>
      <c r="D838" s="19"/>
      <c r="E838" s="19"/>
      <c r="F838" s="19"/>
    </row>
    <row r="839" ht="15.75" customHeight="1">
      <c r="A839" s="19"/>
      <c r="B839" s="19"/>
      <c r="C839" s="19"/>
      <c r="D839" s="19"/>
      <c r="E839" s="19"/>
      <c r="F839" s="19"/>
    </row>
    <row r="840" ht="15.75" customHeight="1">
      <c r="A840" s="19"/>
      <c r="B840" s="19"/>
      <c r="C840" s="19"/>
      <c r="D840" s="19"/>
      <c r="E840" s="19"/>
      <c r="F840" s="19"/>
    </row>
    <row r="841" ht="15.75" customHeight="1">
      <c r="A841" s="19"/>
      <c r="B841" s="19"/>
      <c r="C841" s="19"/>
      <c r="D841" s="19"/>
      <c r="E841" s="19"/>
      <c r="F841" s="19"/>
    </row>
    <row r="842" ht="15.75" customHeight="1">
      <c r="A842" s="19"/>
      <c r="B842" s="19"/>
      <c r="C842" s="19"/>
      <c r="D842" s="19"/>
      <c r="E842" s="19"/>
      <c r="F842" s="19"/>
    </row>
    <row r="843" ht="15.75" customHeight="1">
      <c r="A843" s="19"/>
      <c r="B843" s="19"/>
      <c r="C843" s="19"/>
      <c r="D843" s="19"/>
      <c r="E843" s="19"/>
      <c r="F843" s="19"/>
    </row>
    <row r="844" ht="15.75" customHeight="1">
      <c r="A844" s="19"/>
      <c r="B844" s="19"/>
      <c r="C844" s="19"/>
      <c r="D844" s="19"/>
      <c r="E844" s="19"/>
      <c r="F844" s="19"/>
    </row>
    <row r="845" ht="15.75" customHeight="1">
      <c r="A845" s="19"/>
      <c r="B845" s="19"/>
      <c r="C845" s="19"/>
      <c r="D845" s="19"/>
      <c r="E845" s="19"/>
      <c r="F845" s="19"/>
    </row>
    <row r="846" ht="15.75" customHeight="1">
      <c r="A846" s="19"/>
      <c r="B846" s="19"/>
      <c r="C846" s="19"/>
      <c r="D846" s="19"/>
      <c r="E846" s="19"/>
      <c r="F846" s="19"/>
    </row>
    <row r="847" ht="15.75" customHeight="1">
      <c r="A847" s="19"/>
      <c r="B847" s="19"/>
      <c r="C847" s="19"/>
      <c r="D847" s="19"/>
      <c r="E847" s="19"/>
      <c r="F847" s="19"/>
    </row>
    <row r="848" ht="15.75" customHeight="1">
      <c r="A848" s="19"/>
      <c r="B848" s="19"/>
      <c r="C848" s="19"/>
      <c r="D848" s="19"/>
      <c r="E848" s="19"/>
      <c r="F848" s="19"/>
    </row>
    <row r="849" ht="15.75" customHeight="1">
      <c r="A849" s="19"/>
      <c r="B849" s="19"/>
      <c r="C849" s="19"/>
      <c r="D849" s="19"/>
      <c r="E849" s="19"/>
      <c r="F849" s="19"/>
    </row>
    <row r="850" ht="15.75" customHeight="1">
      <c r="A850" s="19"/>
      <c r="B850" s="19"/>
      <c r="C850" s="19"/>
      <c r="D850" s="19"/>
      <c r="E850" s="19"/>
      <c r="F850" s="19"/>
    </row>
    <row r="851" ht="15.75" customHeight="1">
      <c r="A851" s="19"/>
      <c r="B851" s="19"/>
      <c r="C851" s="19"/>
      <c r="D851" s="19"/>
      <c r="E851" s="19"/>
      <c r="F851" s="19"/>
    </row>
    <row r="852" ht="15.75" customHeight="1">
      <c r="A852" s="19"/>
      <c r="B852" s="19"/>
      <c r="C852" s="19"/>
      <c r="D852" s="19"/>
      <c r="E852" s="19"/>
      <c r="F852" s="19"/>
    </row>
    <row r="853" ht="15.75" customHeight="1">
      <c r="A853" s="19"/>
      <c r="B853" s="19"/>
      <c r="C853" s="19"/>
      <c r="D853" s="19"/>
      <c r="E853" s="19"/>
      <c r="F853" s="19"/>
    </row>
    <row r="854" ht="15.75" customHeight="1">
      <c r="A854" s="19"/>
      <c r="B854" s="19"/>
      <c r="C854" s="19"/>
      <c r="D854" s="19"/>
      <c r="E854" s="19"/>
      <c r="F854" s="19"/>
    </row>
    <row r="855" ht="15.75" customHeight="1">
      <c r="A855" s="19"/>
      <c r="B855" s="19"/>
      <c r="C855" s="19"/>
      <c r="D855" s="19"/>
      <c r="E855" s="19"/>
      <c r="F855" s="19"/>
    </row>
    <row r="856" ht="15.75" customHeight="1">
      <c r="A856" s="19"/>
      <c r="B856" s="19"/>
      <c r="C856" s="19"/>
      <c r="D856" s="19"/>
      <c r="E856" s="19"/>
      <c r="F856" s="19"/>
    </row>
    <row r="857" ht="15.75" customHeight="1">
      <c r="A857" s="19"/>
      <c r="B857" s="19"/>
      <c r="C857" s="19"/>
      <c r="D857" s="19"/>
      <c r="E857" s="19"/>
      <c r="F857" s="19"/>
    </row>
    <row r="858" ht="15.75" customHeight="1">
      <c r="A858" s="19"/>
      <c r="B858" s="19"/>
      <c r="C858" s="19"/>
      <c r="D858" s="19"/>
      <c r="E858" s="19"/>
      <c r="F858" s="19"/>
    </row>
    <row r="859" ht="15.75" customHeight="1">
      <c r="A859" s="19"/>
      <c r="B859" s="19"/>
      <c r="C859" s="19"/>
      <c r="D859" s="19"/>
      <c r="E859" s="19"/>
      <c r="F859" s="19"/>
    </row>
    <row r="860" ht="15.75" customHeight="1">
      <c r="A860" s="19"/>
      <c r="B860" s="19"/>
      <c r="C860" s="19"/>
      <c r="D860" s="19"/>
      <c r="E860" s="19"/>
      <c r="F860" s="19"/>
    </row>
    <row r="861" ht="15.75" customHeight="1">
      <c r="A861" s="19"/>
      <c r="B861" s="19"/>
      <c r="C861" s="19"/>
      <c r="D861" s="19"/>
      <c r="E861" s="19"/>
      <c r="F861" s="19"/>
    </row>
    <row r="862" ht="15.75" customHeight="1">
      <c r="A862" s="19"/>
      <c r="B862" s="19"/>
      <c r="C862" s="19"/>
      <c r="D862" s="19"/>
      <c r="E862" s="19"/>
      <c r="F862" s="19"/>
    </row>
    <row r="863" ht="15.75" customHeight="1">
      <c r="A863" s="19"/>
      <c r="B863" s="19"/>
      <c r="C863" s="19"/>
      <c r="D863" s="19"/>
      <c r="E863" s="19"/>
      <c r="F863" s="19"/>
    </row>
    <row r="864" ht="15.75" customHeight="1">
      <c r="A864" s="19"/>
      <c r="B864" s="19"/>
      <c r="C864" s="19"/>
      <c r="D864" s="19"/>
      <c r="E864" s="19"/>
      <c r="F864" s="19"/>
    </row>
    <row r="865" ht="15.75" customHeight="1">
      <c r="A865" s="19"/>
      <c r="B865" s="19"/>
      <c r="C865" s="19"/>
      <c r="D865" s="19"/>
      <c r="E865" s="19"/>
      <c r="F865" s="19"/>
    </row>
    <row r="866" ht="15.75" customHeight="1">
      <c r="A866" s="19"/>
      <c r="B866" s="19"/>
      <c r="C866" s="19"/>
      <c r="D866" s="19"/>
      <c r="E866" s="19"/>
      <c r="F866" s="19"/>
    </row>
    <row r="867" ht="15.75" customHeight="1">
      <c r="A867" s="19"/>
      <c r="B867" s="19"/>
      <c r="C867" s="19"/>
      <c r="D867" s="19"/>
      <c r="E867" s="19"/>
      <c r="F867" s="19"/>
    </row>
    <row r="868" ht="15.75" customHeight="1">
      <c r="A868" s="19"/>
      <c r="B868" s="19"/>
      <c r="C868" s="19"/>
      <c r="D868" s="19"/>
      <c r="E868" s="19"/>
      <c r="F868" s="19"/>
    </row>
    <row r="869" ht="15.75" customHeight="1">
      <c r="A869" s="19"/>
      <c r="B869" s="19"/>
      <c r="C869" s="19"/>
      <c r="D869" s="19"/>
      <c r="E869" s="19"/>
      <c r="F869" s="19"/>
    </row>
    <row r="870" ht="15.75" customHeight="1">
      <c r="A870" s="19"/>
      <c r="B870" s="19"/>
      <c r="C870" s="19"/>
      <c r="D870" s="19"/>
      <c r="E870" s="19"/>
      <c r="F870" s="19"/>
    </row>
    <row r="871" ht="15.75" customHeight="1">
      <c r="A871" s="19"/>
      <c r="B871" s="19"/>
      <c r="C871" s="19"/>
      <c r="D871" s="19"/>
      <c r="E871" s="19"/>
      <c r="F871" s="19"/>
    </row>
    <row r="872" ht="15.75" customHeight="1">
      <c r="A872" s="19"/>
      <c r="B872" s="19"/>
      <c r="C872" s="19"/>
      <c r="D872" s="19"/>
      <c r="E872" s="19"/>
      <c r="F872" s="19"/>
    </row>
    <row r="873" ht="15.75" customHeight="1">
      <c r="A873" s="19"/>
      <c r="B873" s="19"/>
      <c r="C873" s="19"/>
      <c r="D873" s="19"/>
      <c r="E873" s="19"/>
      <c r="F873" s="19"/>
    </row>
    <row r="874" ht="15.75" customHeight="1">
      <c r="A874" s="19"/>
      <c r="B874" s="19"/>
      <c r="C874" s="19"/>
      <c r="D874" s="19"/>
      <c r="E874" s="19"/>
      <c r="F874" s="19"/>
    </row>
    <row r="875" ht="15.75" customHeight="1">
      <c r="A875" s="19"/>
      <c r="B875" s="19"/>
      <c r="C875" s="19"/>
      <c r="D875" s="19"/>
      <c r="E875" s="19"/>
      <c r="F875" s="19"/>
    </row>
    <row r="876" ht="15.75" customHeight="1">
      <c r="A876" s="19"/>
      <c r="B876" s="19"/>
      <c r="C876" s="19"/>
      <c r="D876" s="19"/>
      <c r="E876" s="19"/>
      <c r="F876" s="19"/>
    </row>
    <row r="877" ht="15.75" customHeight="1">
      <c r="A877" s="19"/>
      <c r="B877" s="19"/>
      <c r="C877" s="19"/>
      <c r="D877" s="19"/>
      <c r="E877" s="19"/>
      <c r="F877" s="19"/>
    </row>
    <row r="878" ht="15.75" customHeight="1">
      <c r="A878" s="19"/>
      <c r="B878" s="19"/>
      <c r="C878" s="19"/>
      <c r="D878" s="19"/>
      <c r="E878" s="19"/>
      <c r="F878" s="19"/>
    </row>
    <row r="879" ht="15.75" customHeight="1">
      <c r="A879" s="19"/>
      <c r="B879" s="19"/>
      <c r="C879" s="19"/>
      <c r="D879" s="19"/>
      <c r="E879" s="19"/>
      <c r="F879" s="19"/>
    </row>
    <row r="880" ht="15.75" customHeight="1">
      <c r="A880" s="19"/>
      <c r="B880" s="19"/>
      <c r="C880" s="19"/>
      <c r="D880" s="19"/>
      <c r="E880" s="19"/>
      <c r="F880" s="19"/>
    </row>
    <row r="881" ht="15.75" customHeight="1">
      <c r="A881" s="19"/>
      <c r="B881" s="19"/>
      <c r="C881" s="19"/>
      <c r="D881" s="19"/>
      <c r="E881" s="19"/>
      <c r="F881" s="19"/>
    </row>
    <row r="882" ht="15.75" customHeight="1">
      <c r="A882" s="19"/>
      <c r="B882" s="19"/>
      <c r="C882" s="19"/>
      <c r="D882" s="19"/>
      <c r="E882" s="19"/>
      <c r="F882" s="19"/>
    </row>
    <row r="883" ht="15.75" customHeight="1">
      <c r="A883" s="19"/>
      <c r="B883" s="19"/>
      <c r="C883" s="19"/>
      <c r="D883" s="19"/>
      <c r="E883" s="19"/>
      <c r="F883" s="19"/>
    </row>
    <row r="884" ht="15.75" customHeight="1">
      <c r="A884" s="19"/>
      <c r="B884" s="19"/>
      <c r="C884" s="19"/>
      <c r="D884" s="19"/>
      <c r="E884" s="19"/>
      <c r="F884" s="19"/>
    </row>
    <row r="885" ht="15.75" customHeight="1">
      <c r="A885" s="19"/>
      <c r="B885" s="19"/>
      <c r="C885" s="19"/>
      <c r="D885" s="19"/>
      <c r="E885" s="19"/>
      <c r="F885" s="19"/>
    </row>
    <row r="886" ht="15.75" customHeight="1">
      <c r="A886" s="19"/>
      <c r="B886" s="19"/>
      <c r="C886" s="19"/>
      <c r="D886" s="19"/>
      <c r="E886" s="19"/>
      <c r="F886" s="19"/>
    </row>
    <row r="887" ht="15.75" customHeight="1">
      <c r="A887" s="19"/>
      <c r="B887" s="19"/>
      <c r="C887" s="19"/>
      <c r="D887" s="19"/>
      <c r="E887" s="19"/>
      <c r="F887" s="19"/>
    </row>
    <row r="888" ht="15.75" customHeight="1">
      <c r="A888" s="19"/>
      <c r="B888" s="19"/>
      <c r="C888" s="19"/>
      <c r="D888" s="19"/>
      <c r="E888" s="19"/>
      <c r="F888" s="19"/>
    </row>
    <row r="889" ht="15.75" customHeight="1">
      <c r="A889" s="19"/>
      <c r="B889" s="19"/>
      <c r="C889" s="19"/>
      <c r="D889" s="19"/>
      <c r="E889" s="19"/>
      <c r="F889" s="19"/>
    </row>
    <row r="890" ht="15.75" customHeight="1">
      <c r="A890" s="19"/>
      <c r="B890" s="19"/>
      <c r="C890" s="19"/>
      <c r="D890" s="19"/>
      <c r="E890" s="19"/>
      <c r="F890" s="19"/>
    </row>
    <row r="891" ht="15.75" customHeight="1">
      <c r="A891" s="19"/>
      <c r="B891" s="19"/>
      <c r="C891" s="19"/>
      <c r="D891" s="19"/>
      <c r="E891" s="19"/>
      <c r="F891" s="19"/>
    </row>
    <row r="892" ht="15.75" customHeight="1">
      <c r="A892" s="19"/>
      <c r="B892" s="19"/>
      <c r="C892" s="19"/>
      <c r="D892" s="19"/>
      <c r="E892" s="19"/>
      <c r="F892" s="19"/>
    </row>
    <row r="893" ht="15.75" customHeight="1">
      <c r="A893" s="19"/>
      <c r="B893" s="19"/>
      <c r="C893" s="19"/>
      <c r="D893" s="19"/>
      <c r="E893" s="19"/>
      <c r="F893" s="19"/>
    </row>
    <row r="894" ht="15.75" customHeight="1">
      <c r="A894" s="19"/>
      <c r="B894" s="19"/>
      <c r="C894" s="19"/>
      <c r="D894" s="19"/>
      <c r="E894" s="19"/>
      <c r="F894" s="19"/>
    </row>
    <row r="895" ht="15.75" customHeight="1">
      <c r="A895" s="19"/>
      <c r="B895" s="19"/>
      <c r="C895" s="19"/>
      <c r="D895" s="19"/>
      <c r="E895" s="19"/>
      <c r="F895" s="19"/>
    </row>
    <row r="896" ht="15.75" customHeight="1">
      <c r="A896" s="19"/>
      <c r="B896" s="19"/>
      <c r="C896" s="19"/>
      <c r="D896" s="19"/>
      <c r="E896" s="19"/>
      <c r="F896" s="19"/>
    </row>
    <row r="897" ht="15.75" customHeight="1">
      <c r="A897" s="19"/>
      <c r="B897" s="19"/>
      <c r="C897" s="19"/>
      <c r="D897" s="19"/>
      <c r="E897" s="19"/>
      <c r="F897" s="19"/>
    </row>
    <row r="898" ht="15.75" customHeight="1">
      <c r="A898" s="19"/>
      <c r="B898" s="19"/>
      <c r="C898" s="19"/>
      <c r="D898" s="19"/>
      <c r="E898" s="19"/>
      <c r="F898" s="19"/>
    </row>
    <row r="899" ht="15.75" customHeight="1">
      <c r="A899" s="19"/>
      <c r="B899" s="19"/>
      <c r="C899" s="19"/>
      <c r="D899" s="19"/>
      <c r="E899" s="19"/>
      <c r="F899" s="19"/>
    </row>
    <row r="900" ht="15.75" customHeight="1">
      <c r="A900" s="19"/>
      <c r="B900" s="19"/>
      <c r="C900" s="19"/>
      <c r="D900" s="19"/>
      <c r="E900" s="19"/>
      <c r="F900" s="19"/>
    </row>
    <row r="901" ht="15.75" customHeight="1">
      <c r="A901" s="19"/>
      <c r="B901" s="19"/>
      <c r="C901" s="19"/>
      <c r="D901" s="19"/>
      <c r="E901" s="19"/>
      <c r="F901" s="19"/>
    </row>
    <row r="902" ht="15.75" customHeight="1">
      <c r="A902" s="19"/>
      <c r="B902" s="19"/>
      <c r="C902" s="19"/>
      <c r="D902" s="19"/>
      <c r="E902" s="19"/>
      <c r="F902" s="19"/>
    </row>
    <row r="903" ht="15.75" customHeight="1">
      <c r="A903" s="19"/>
      <c r="B903" s="19"/>
      <c r="C903" s="19"/>
      <c r="D903" s="19"/>
      <c r="E903" s="19"/>
      <c r="F903" s="19"/>
    </row>
    <row r="904" ht="15.75" customHeight="1">
      <c r="A904" s="19"/>
      <c r="B904" s="19"/>
      <c r="C904" s="19"/>
      <c r="D904" s="19"/>
      <c r="E904" s="19"/>
      <c r="F904" s="19"/>
    </row>
    <row r="905" ht="15.75" customHeight="1">
      <c r="A905" s="19"/>
      <c r="B905" s="19"/>
      <c r="C905" s="19"/>
      <c r="D905" s="19"/>
      <c r="E905" s="19"/>
      <c r="F905" s="19"/>
    </row>
    <row r="906" ht="15.75" customHeight="1">
      <c r="A906" s="19"/>
      <c r="B906" s="19"/>
      <c r="C906" s="19"/>
      <c r="D906" s="19"/>
      <c r="E906" s="19"/>
      <c r="F906" s="19"/>
    </row>
    <row r="907" ht="15.75" customHeight="1">
      <c r="A907" s="19"/>
      <c r="B907" s="19"/>
      <c r="C907" s="19"/>
      <c r="D907" s="19"/>
      <c r="E907" s="19"/>
      <c r="F907" s="19"/>
    </row>
    <row r="908" ht="15.75" customHeight="1">
      <c r="A908" s="19"/>
      <c r="B908" s="19"/>
      <c r="C908" s="19"/>
      <c r="D908" s="19"/>
      <c r="E908" s="19"/>
      <c r="F908" s="19"/>
    </row>
    <row r="909" ht="15.75" customHeight="1">
      <c r="A909" s="19"/>
      <c r="B909" s="19"/>
      <c r="C909" s="19"/>
      <c r="D909" s="19"/>
      <c r="E909" s="19"/>
      <c r="F909" s="19"/>
    </row>
    <row r="910" ht="15.75" customHeight="1">
      <c r="A910" s="19"/>
      <c r="B910" s="19"/>
      <c r="C910" s="19"/>
      <c r="D910" s="19"/>
      <c r="E910" s="19"/>
      <c r="F910" s="19"/>
    </row>
    <row r="911" ht="15.75" customHeight="1">
      <c r="A911" s="19"/>
      <c r="B911" s="19"/>
      <c r="C911" s="19"/>
      <c r="D911" s="19"/>
      <c r="E911" s="19"/>
      <c r="F911" s="19"/>
    </row>
    <row r="912" ht="15.75" customHeight="1">
      <c r="A912" s="19"/>
      <c r="B912" s="19"/>
      <c r="C912" s="19"/>
      <c r="D912" s="19"/>
      <c r="E912" s="19"/>
      <c r="F912" s="19"/>
    </row>
    <row r="913" ht="15.75" customHeight="1">
      <c r="A913" s="19"/>
      <c r="B913" s="19"/>
      <c r="C913" s="19"/>
      <c r="D913" s="19"/>
      <c r="E913" s="19"/>
      <c r="F913" s="19"/>
    </row>
    <row r="914" ht="15.75" customHeight="1">
      <c r="A914" s="19"/>
      <c r="B914" s="19"/>
      <c r="C914" s="19"/>
      <c r="D914" s="19"/>
      <c r="E914" s="19"/>
      <c r="F914" s="19"/>
    </row>
    <row r="915" ht="15.75" customHeight="1">
      <c r="A915" s="19"/>
      <c r="B915" s="19"/>
      <c r="C915" s="19"/>
      <c r="D915" s="19"/>
      <c r="E915" s="19"/>
      <c r="F915" s="19"/>
    </row>
    <row r="916" ht="15.75" customHeight="1">
      <c r="A916" s="19"/>
      <c r="B916" s="19"/>
      <c r="C916" s="19"/>
      <c r="D916" s="19"/>
      <c r="E916" s="19"/>
      <c r="F916" s="19"/>
    </row>
    <row r="917" ht="15.75" customHeight="1">
      <c r="A917" s="19"/>
      <c r="B917" s="19"/>
      <c r="C917" s="19"/>
      <c r="D917" s="19"/>
      <c r="E917" s="19"/>
      <c r="F917" s="19"/>
    </row>
    <row r="918" ht="15.75" customHeight="1">
      <c r="A918" s="19"/>
      <c r="B918" s="19"/>
      <c r="C918" s="19"/>
      <c r="D918" s="19"/>
      <c r="E918" s="19"/>
      <c r="F918" s="19"/>
    </row>
    <row r="919" ht="15.75" customHeight="1">
      <c r="A919" s="19"/>
      <c r="B919" s="19"/>
      <c r="C919" s="19"/>
      <c r="D919" s="19"/>
      <c r="E919" s="19"/>
      <c r="F919" s="19"/>
    </row>
    <row r="920" ht="15.75" customHeight="1">
      <c r="A920" s="19"/>
      <c r="B920" s="19"/>
      <c r="C920" s="19"/>
      <c r="D920" s="19"/>
      <c r="E920" s="19"/>
      <c r="F920" s="19"/>
    </row>
    <row r="921" ht="15.75" customHeight="1">
      <c r="A921" s="19"/>
      <c r="B921" s="19"/>
      <c r="C921" s="19"/>
      <c r="D921" s="19"/>
      <c r="E921" s="19"/>
      <c r="F921" s="19"/>
    </row>
    <row r="922" ht="15.75" customHeight="1">
      <c r="A922" s="19"/>
      <c r="B922" s="19"/>
      <c r="C922" s="19"/>
      <c r="D922" s="19"/>
      <c r="E922" s="19"/>
      <c r="F922" s="19"/>
    </row>
    <row r="923" ht="15.75" customHeight="1">
      <c r="A923" s="19"/>
      <c r="B923" s="19"/>
      <c r="C923" s="19"/>
      <c r="D923" s="19"/>
      <c r="E923" s="19"/>
      <c r="F923" s="19"/>
    </row>
    <row r="924" ht="15.75" customHeight="1">
      <c r="A924" s="19"/>
      <c r="B924" s="19"/>
      <c r="C924" s="19"/>
      <c r="D924" s="19"/>
      <c r="E924" s="19"/>
      <c r="F924" s="19"/>
    </row>
    <row r="925" ht="15.75" customHeight="1">
      <c r="A925" s="19"/>
      <c r="B925" s="19"/>
      <c r="C925" s="19"/>
      <c r="D925" s="19"/>
      <c r="E925" s="19"/>
      <c r="F925" s="19"/>
    </row>
    <row r="926" ht="15.75" customHeight="1">
      <c r="A926" s="19"/>
      <c r="B926" s="19"/>
      <c r="C926" s="19"/>
      <c r="D926" s="19"/>
      <c r="E926" s="19"/>
      <c r="F926" s="19"/>
    </row>
    <row r="927" ht="15.75" customHeight="1">
      <c r="A927" s="19"/>
      <c r="B927" s="19"/>
      <c r="C927" s="19"/>
      <c r="D927" s="19"/>
      <c r="E927" s="19"/>
      <c r="F927" s="19"/>
    </row>
    <row r="928" ht="15.75" customHeight="1">
      <c r="A928" s="19"/>
      <c r="B928" s="19"/>
      <c r="C928" s="19"/>
      <c r="D928" s="19"/>
      <c r="E928" s="19"/>
      <c r="F928" s="19"/>
    </row>
    <row r="929" ht="15.75" customHeight="1">
      <c r="A929" s="19"/>
      <c r="B929" s="19"/>
      <c r="C929" s="19"/>
      <c r="D929" s="19"/>
      <c r="E929" s="19"/>
      <c r="F929" s="19"/>
    </row>
    <row r="930" ht="15.75" customHeight="1">
      <c r="A930" s="19"/>
      <c r="B930" s="19"/>
      <c r="C930" s="19"/>
      <c r="D930" s="19"/>
      <c r="E930" s="19"/>
      <c r="F930" s="19"/>
    </row>
    <row r="931" ht="15.75" customHeight="1">
      <c r="A931" s="19"/>
      <c r="B931" s="19"/>
      <c r="C931" s="19"/>
      <c r="D931" s="19"/>
      <c r="E931" s="19"/>
      <c r="F931" s="19"/>
    </row>
    <row r="932" ht="15.75" customHeight="1">
      <c r="A932" s="19"/>
      <c r="B932" s="19"/>
      <c r="C932" s="19"/>
      <c r="D932" s="19"/>
      <c r="E932" s="19"/>
      <c r="F932" s="19"/>
    </row>
    <row r="933" ht="15.75" customHeight="1">
      <c r="A933" s="19"/>
      <c r="B933" s="19"/>
      <c r="C933" s="19"/>
      <c r="D933" s="19"/>
      <c r="E933" s="19"/>
      <c r="F933" s="19"/>
    </row>
    <row r="934" ht="15.75" customHeight="1">
      <c r="A934" s="19"/>
      <c r="B934" s="19"/>
      <c r="C934" s="19"/>
      <c r="D934" s="19"/>
      <c r="E934" s="19"/>
      <c r="F934" s="19"/>
    </row>
    <row r="935" ht="15.75" customHeight="1">
      <c r="A935" s="19"/>
      <c r="B935" s="19"/>
      <c r="C935" s="19"/>
      <c r="D935" s="19"/>
      <c r="E935" s="19"/>
      <c r="F935" s="19"/>
    </row>
    <row r="936" ht="15.75" customHeight="1">
      <c r="A936" s="19"/>
      <c r="B936" s="19"/>
      <c r="C936" s="19"/>
      <c r="D936" s="19"/>
      <c r="E936" s="19"/>
      <c r="F936" s="19"/>
    </row>
    <row r="937" ht="15.75" customHeight="1">
      <c r="A937" s="19"/>
      <c r="B937" s="19"/>
      <c r="C937" s="19"/>
      <c r="D937" s="19"/>
      <c r="E937" s="19"/>
      <c r="F937" s="19"/>
    </row>
    <row r="938" ht="15.75" customHeight="1">
      <c r="A938" s="19"/>
      <c r="B938" s="19"/>
      <c r="C938" s="19"/>
      <c r="D938" s="19"/>
      <c r="E938" s="19"/>
      <c r="F938" s="19"/>
    </row>
    <row r="939" ht="15.75" customHeight="1">
      <c r="A939" s="19"/>
      <c r="B939" s="19"/>
      <c r="C939" s="19"/>
      <c r="D939" s="19"/>
      <c r="E939" s="19"/>
      <c r="F939" s="19"/>
    </row>
    <row r="940" ht="15.75" customHeight="1">
      <c r="A940" s="19"/>
      <c r="B940" s="19"/>
      <c r="C940" s="19"/>
      <c r="D940" s="19"/>
      <c r="E940" s="19"/>
      <c r="F940" s="19"/>
    </row>
    <row r="941" ht="15.75" customHeight="1">
      <c r="A941" s="19"/>
      <c r="B941" s="19"/>
      <c r="C941" s="19"/>
      <c r="D941" s="19"/>
      <c r="E941" s="19"/>
      <c r="F941" s="19"/>
    </row>
    <row r="942" ht="15.75" customHeight="1">
      <c r="A942" s="19"/>
      <c r="B942" s="19"/>
      <c r="C942" s="19"/>
      <c r="D942" s="19"/>
      <c r="E942" s="19"/>
      <c r="F942" s="19"/>
    </row>
    <row r="943" ht="15.75" customHeight="1">
      <c r="A943" s="19"/>
      <c r="B943" s="19"/>
      <c r="C943" s="19"/>
      <c r="D943" s="19"/>
      <c r="E943" s="19"/>
      <c r="F943" s="19"/>
    </row>
    <row r="944" ht="15.75" customHeight="1">
      <c r="A944" s="19"/>
      <c r="B944" s="19"/>
      <c r="C944" s="19"/>
      <c r="D944" s="19"/>
      <c r="E944" s="19"/>
      <c r="F944" s="19"/>
    </row>
    <row r="945" ht="15.75" customHeight="1">
      <c r="A945" s="19"/>
      <c r="B945" s="19"/>
      <c r="C945" s="19"/>
      <c r="D945" s="19"/>
      <c r="E945" s="19"/>
      <c r="F945" s="19"/>
    </row>
    <row r="946" ht="15.75" customHeight="1">
      <c r="A946" s="19"/>
      <c r="B946" s="19"/>
      <c r="C946" s="19"/>
      <c r="D946" s="19"/>
      <c r="E946" s="19"/>
      <c r="F946" s="19"/>
    </row>
    <row r="947" ht="15.75" customHeight="1">
      <c r="A947" s="19"/>
      <c r="B947" s="19"/>
      <c r="C947" s="19"/>
      <c r="D947" s="19"/>
      <c r="E947" s="19"/>
      <c r="F947" s="19"/>
    </row>
    <row r="948" ht="15.75" customHeight="1">
      <c r="A948" s="19"/>
      <c r="B948" s="19"/>
      <c r="C948" s="19"/>
      <c r="D948" s="19"/>
      <c r="E948" s="19"/>
      <c r="F948" s="19"/>
    </row>
    <row r="949" ht="15.75" customHeight="1">
      <c r="A949" s="19"/>
      <c r="B949" s="19"/>
      <c r="C949" s="19"/>
      <c r="D949" s="19"/>
      <c r="E949" s="19"/>
      <c r="F949" s="19"/>
    </row>
    <row r="950" ht="15.75" customHeight="1">
      <c r="A950" s="19"/>
      <c r="B950" s="19"/>
      <c r="C950" s="19"/>
      <c r="D950" s="19"/>
      <c r="E950" s="19"/>
      <c r="F950" s="19"/>
    </row>
    <row r="951" ht="15.75" customHeight="1">
      <c r="A951" s="19"/>
      <c r="B951" s="19"/>
      <c r="C951" s="19"/>
      <c r="D951" s="19"/>
      <c r="E951" s="19"/>
      <c r="F951" s="19"/>
    </row>
    <row r="952" ht="15.75" customHeight="1">
      <c r="A952" s="19"/>
      <c r="B952" s="19"/>
      <c r="C952" s="19"/>
      <c r="D952" s="19"/>
      <c r="E952" s="19"/>
      <c r="F952" s="19"/>
    </row>
    <row r="953" ht="15.75" customHeight="1">
      <c r="A953" s="19"/>
      <c r="B953" s="19"/>
      <c r="C953" s="19"/>
      <c r="D953" s="19"/>
      <c r="E953" s="19"/>
      <c r="F953" s="19"/>
    </row>
    <row r="954" ht="15.75" customHeight="1">
      <c r="A954" s="19"/>
      <c r="B954" s="19"/>
      <c r="C954" s="19"/>
      <c r="D954" s="19"/>
      <c r="E954" s="19"/>
      <c r="F954" s="19"/>
    </row>
    <row r="955" ht="15.75" customHeight="1">
      <c r="A955" s="19"/>
      <c r="B955" s="19"/>
      <c r="C955" s="19"/>
      <c r="D955" s="19"/>
      <c r="E955" s="19"/>
      <c r="F955" s="19"/>
    </row>
    <row r="956" ht="15.75" customHeight="1">
      <c r="A956" s="19"/>
      <c r="B956" s="19"/>
      <c r="C956" s="19"/>
      <c r="D956" s="19"/>
      <c r="E956" s="19"/>
      <c r="F956" s="19"/>
    </row>
    <row r="957" ht="15.75" customHeight="1">
      <c r="A957" s="19"/>
      <c r="B957" s="19"/>
      <c r="C957" s="19"/>
      <c r="D957" s="19"/>
      <c r="E957" s="19"/>
      <c r="F957" s="19"/>
    </row>
    <row r="958" ht="15.75" customHeight="1">
      <c r="A958" s="19"/>
      <c r="B958" s="19"/>
      <c r="C958" s="19"/>
      <c r="D958" s="19"/>
      <c r="E958" s="19"/>
      <c r="F958" s="19"/>
    </row>
    <row r="959" ht="15.75" customHeight="1">
      <c r="A959" s="19"/>
      <c r="B959" s="19"/>
      <c r="C959" s="19"/>
      <c r="D959" s="19"/>
      <c r="E959" s="19"/>
      <c r="F959" s="19"/>
    </row>
    <row r="960" ht="15.75" customHeight="1">
      <c r="A960" s="19"/>
      <c r="B960" s="19"/>
      <c r="C960" s="19"/>
      <c r="D960" s="19"/>
      <c r="E960" s="19"/>
      <c r="F960" s="19"/>
    </row>
    <row r="961" ht="15.75" customHeight="1">
      <c r="A961" s="19"/>
      <c r="B961" s="19"/>
      <c r="C961" s="19"/>
      <c r="D961" s="19"/>
      <c r="E961" s="19"/>
      <c r="F961" s="19"/>
    </row>
    <row r="962" ht="15.75" customHeight="1">
      <c r="A962" s="19"/>
      <c r="B962" s="19"/>
      <c r="C962" s="19"/>
      <c r="D962" s="19"/>
      <c r="E962" s="19"/>
      <c r="F962" s="19"/>
    </row>
    <row r="963" ht="15.75" customHeight="1">
      <c r="A963" s="19"/>
      <c r="B963" s="19"/>
      <c r="C963" s="19"/>
      <c r="D963" s="19"/>
      <c r="E963" s="19"/>
      <c r="F963" s="19"/>
    </row>
    <row r="964" ht="15.75" customHeight="1">
      <c r="A964" s="19"/>
      <c r="B964" s="19"/>
      <c r="C964" s="19"/>
      <c r="D964" s="19"/>
      <c r="E964" s="19"/>
      <c r="F964" s="19"/>
    </row>
    <row r="965" ht="15.75" customHeight="1">
      <c r="A965" s="19"/>
      <c r="B965" s="19"/>
      <c r="C965" s="19"/>
      <c r="D965" s="19"/>
      <c r="E965" s="19"/>
      <c r="F965" s="19"/>
    </row>
    <row r="966" ht="15.75" customHeight="1">
      <c r="A966" s="19"/>
      <c r="B966" s="19"/>
      <c r="C966" s="19"/>
      <c r="D966" s="19"/>
      <c r="E966" s="19"/>
      <c r="F966" s="19"/>
    </row>
    <row r="967" ht="15.75" customHeight="1">
      <c r="A967" s="19"/>
      <c r="B967" s="19"/>
      <c r="C967" s="19"/>
      <c r="D967" s="19"/>
      <c r="E967" s="19"/>
      <c r="F967" s="19"/>
    </row>
    <row r="968" ht="15.75" customHeight="1">
      <c r="A968" s="19"/>
      <c r="B968" s="19"/>
      <c r="C968" s="19"/>
      <c r="D968" s="19"/>
      <c r="E968" s="19"/>
      <c r="F968" s="19"/>
    </row>
    <row r="969" ht="15.75" customHeight="1">
      <c r="A969" s="19"/>
      <c r="B969" s="19"/>
      <c r="C969" s="19"/>
      <c r="D969" s="19"/>
      <c r="E969" s="19"/>
      <c r="F969" s="19"/>
    </row>
    <row r="970" ht="15.75" customHeight="1">
      <c r="A970" s="19"/>
      <c r="B970" s="19"/>
      <c r="C970" s="19"/>
      <c r="D970" s="19"/>
      <c r="E970" s="19"/>
      <c r="F970" s="19"/>
    </row>
    <row r="971" ht="15.75" customHeight="1">
      <c r="A971" s="19"/>
      <c r="B971" s="19"/>
      <c r="C971" s="19"/>
      <c r="D971" s="19"/>
      <c r="E971" s="19"/>
      <c r="F971" s="19"/>
    </row>
    <row r="972" ht="15.75" customHeight="1">
      <c r="A972" s="19"/>
      <c r="B972" s="19"/>
      <c r="C972" s="19"/>
      <c r="D972" s="19"/>
      <c r="E972" s="19"/>
      <c r="F972" s="19"/>
    </row>
    <row r="973" ht="15.75" customHeight="1">
      <c r="A973" s="19"/>
      <c r="B973" s="19"/>
      <c r="C973" s="19"/>
      <c r="D973" s="19"/>
      <c r="E973" s="19"/>
      <c r="F973" s="19"/>
    </row>
    <row r="974" ht="15.75" customHeight="1">
      <c r="A974" s="19"/>
      <c r="B974" s="19"/>
      <c r="C974" s="19"/>
      <c r="D974" s="19"/>
      <c r="E974" s="19"/>
      <c r="F974" s="19"/>
    </row>
    <row r="975" ht="15.75" customHeight="1">
      <c r="A975" s="19"/>
      <c r="B975" s="19"/>
      <c r="C975" s="19"/>
      <c r="D975" s="19"/>
      <c r="E975" s="19"/>
      <c r="F975" s="19"/>
    </row>
    <row r="976" ht="15.75" customHeight="1">
      <c r="A976" s="19"/>
      <c r="B976" s="19"/>
      <c r="C976" s="19"/>
      <c r="D976" s="19"/>
      <c r="E976" s="19"/>
      <c r="F976" s="19"/>
    </row>
    <row r="977" ht="15.75" customHeight="1">
      <c r="A977" s="19"/>
      <c r="B977" s="19"/>
      <c r="C977" s="19"/>
      <c r="D977" s="19"/>
      <c r="E977" s="19"/>
      <c r="F977" s="19"/>
    </row>
    <row r="978" ht="15.75" customHeight="1">
      <c r="A978" s="19"/>
      <c r="B978" s="19"/>
      <c r="C978" s="19"/>
      <c r="D978" s="19"/>
      <c r="E978" s="19"/>
      <c r="F978" s="19"/>
    </row>
    <row r="979" ht="15.75" customHeight="1">
      <c r="A979" s="19"/>
      <c r="B979" s="19"/>
      <c r="C979" s="19"/>
      <c r="D979" s="19"/>
      <c r="E979" s="19"/>
      <c r="F979" s="19"/>
    </row>
    <row r="980" ht="15.75" customHeight="1">
      <c r="A980" s="19"/>
      <c r="B980" s="19"/>
      <c r="C980" s="19"/>
      <c r="D980" s="19"/>
      <c r="E980" s="19"/>
      <c r="F980" s="19"/>
    </row>
    <row r="981" ht="15.75" customHeight="1">
      <c r="A981" s="19"/>
      <c r="B981" s="19"/>
      <c r="C981" s="19"/>
      <c r="D981" s="19"/>
      <c r="E981" s="19"/>
      <c r="F981" s="19"/>
    </row>
    <row r="982" ht="15.75" customHeight="1">
      <c r="A982" s="19"/>
      <c r="B982" s="19"/>
      <c r="C982" s="19"/>
      <c r="D982" s="19"/>
      <c r="E982" s="19"/>
      <c r="F982" s="19"/>
    </row>
    <row r="983" ht="15.75" customHeight="1">
      <c r="A983" s="19"/>
      <c r="B983" s="19"/>
      <c r="C983" s="19"/>
      <c r="D983" s="19"/>
      <c r="E983" s="19"/>
      <c r="F983" s="19"/>
    </row>
    <row r="984" ht="15.75" customHeight="1">
      <c r="A984" s="19"/>
      <c r="B984" s="19"/>
      <c r="C984" s="19"/>
      <c r="D984" s="19"/>
      <c r="E984" s="19"/>
      <c r="F984" s="19"/>
    </row>
    <row r="985" ht="15.75" customHeight="1">
      <c r="A985" s="19"/>
      <c r="B985" s="19"/>
      <c r="C985" s="19"/>
      <c r="D985" s="19"/>
      <c r="E985" s="19"/>
      <c r="F985" s="19"/>
    </row>
    <row r="986" ht="15.75" customHeight="1">
      <c r="A986" s="19"/>
      <c r="B986" s="19"/>
      <c r="C986" s="19"/>
      <c r="D986" s="19"/>
      <c r="E986" s="19"/>
      <c r="F986" s="19"/>
    </row>
    <row r="987" ht="15.75" customHeight="1">
      <c r="A987" s="19"/>
      <c r="B987" s="19"/>
      <c r="C987" s="19"/>
      <c r="D987" s="19"/>
      <c r="E987" s="19"/>
      <c r="F987" s="19"/>
    </row>
    <row r="988" ht="15.75" customHeight="1">
      <c r="A988" s="19"/>
      <c r="B988" s="19"/>
      <c r="C988" s="19"/>
      <c r="D988" s="19"/>
      <c r="E988" s="19"/>
      <c r="F988" s="19"/>
    </row>
    <row r="989" ht="15.75" customHeight="1">
      <c r="A989" s="19"/>
      <c r="B989" s="19"/>
      <c r="C989" s="19"/>
      <c r="D989" s="19"/>
      <c r="E989" s="19"/>
      <c r="F989" s="19"/>
    </row>
    <row r="990" ht="15.75" customHeight="1">
      <c r="A990" s="19"/>
      <c r="B990" s="19"/>
      <c r="C990" s="19"/>
      <c r="D990" s="19"/>
      <c r="E990" s="19"/>
      <c r="F990" s="19"/>
    </row>
    <row r="991" ht="15.75" customHeight="1">
      <c r="A991" s="19"/>
      <c r="B991" s="19"/>
      <c r="C991" s="19"/>
      <c r="D991" s="19"/>
      <c r="E991" s="19"/>
      <c r="F991" s="19"/>
    </row>
    <row r="992" ht="15.75" customHeight="1">
      <c r="A992" s="19"/>
      <c r="B992" s="19"/>
      <c r="C992" s="19"/>
      <c r="D992" s="19"/>
      <c r="E992" s="19"/>
      <c r="F992" s="19"/>
    </row>
    <row r="993" ht="15.75" customHeight="1">
      <c r="A993" s="19"/>
      <c r="B993" s="19"/>
      <c r="C993" s="19"/>
      <c r="D993" s="19"/>
      <c r="E993" s="19"/>
      <c r="F993" s="19"/>
    </row>
    <row r="994" ht="15.75" customHeight="1">
      <c r="A994" s="19"/>
      <c r="B994" s="19"/>
      <c r="C994" s="19"/>
      <c r="D994" s="19"/>
      <c r="E994" s="19"/>
      <c r="F994" s="19"/>
    </row>
    <row r="995" ht="15.75" customHeight="1">
      <c r="A995" s="19"/>
      <c r="B995" s="19"/>
      <c r="C995" s="19"/>
      <c r="D995" s="19"/>
      <c r="E995" s="19"/>
      <c r="F995" s="19"/>
    </row>
    <row r="996" ht="15.75" customHeight="1">
      <c r="A996" s="19"/>
      <c r="B996" s="19"/>
      <c r="C996" s="19"/>
      <c r="D996" s="19"/>
      <c r="E996" s="19"/>
      <c r="F996" s="19"/>
    </row>
    <row r="997" ht="15.75" customHeight="1">
      <c r="A997" s="19"/>
      <c r="B997" s="19"/>
      <c r="C997" s="19"/>
      <c r="D997" s="19"/>
      <c r="E997" s="19"/>
      <c r="F997" s="19"/>
    </row>
    <row r="998" ht="15.75" customHeight="1">
      <c r="A998" s="19"/>
      <c r="B998" s="19"/>
      <c r="C998" s="19"/>
      <c r="D998" s="19"/>
      <c r="E998" s="19"/>
      <c r="F998" s="19"/>
    </row>
    <row r="999" ht="15.75" customHeight="1">
      <c r="A999" s="19"/>
      <c r="B999" s="19"/>
      <c r="C999" s="19"/>
      <c r="D999" s="19"/>
      <c r="E999" s="19"/>
      <c r="F999" s="19"/>
    </row>
    <row r="1000" ht="15.75" customHeight="1">
      <c r="A1000" s="19"/>
      <c r="B1000" s="19"/>
      <c r="C1000" s="19"/>
      <c r="D1000" s="19"/>
      <c r="E1000" s="19"/>
      <c r="F1000" s="19"/>
    </row>
  </sheetData>
  <mergeCells count="1">
    <mergeCell ref="A1:C1"/>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2.0"/>
    <col customWidth="1" min="3" max="3" width="100.0"/>
    <col customWidth="1" min="4" max="6" width="8.71"/>
  </cols>
  <sheetData>
    <row r="1" ht="17.25" customHeight="1">
      <c r="A1" s="20" t="s">
        <v>3123</v>
      </c>
      <c r="B1" s="21"/>
      <c r="C1" s="22"/>
      <c r="D1" s="19"/>
      <c r="E1" s="19"/>
      <c r="F1" s="19"/>
    </row>
    <row r="2" ht="15.0" customHeight="1">
      <c r="A2" s="14"/>
      <c r="B2" s="14"/>
      <c r="C2" s="14"/>
      <c r="D2" s="19"/>
      <c r="E2" s="19"/>
      <c r="F2" s="19"/>
    </row>
    <row r="3" ht="15.0" customHeight="1">
      <c r="A3" s="28" t="s">
        <v>3124</v>
      </c>
      <c r="B3" s="28" t="s">
        <v>3125</v>
      </c>
      <c r="C3" s="28" t="s">
        <v>3126</v>
      </c>
      <c r="D3" s="19"/>
      <c r="E3" s="19"/>
      <c r="F3" s="19"/>
    </row>
    <row r="4" ht="15.0" customHeight="1">
      <c r="A4" s="14" t="s">
        <v>3127</v>
      </c>
      <c r="B4" s="14" t="s">
        <v>1</v>
      </c>
      <c r="C4" s="14" t="s">
        <v>3128</v>
      </c>
      <c r="D4" s="19"/>
      <c r="E4" s="19"/>
      <c r="F4" s="19"/>
    </row>
    <row r="5" ht="15.0" customHeight="1">
      <c r="A5" s="14" t="s">
        <v>3129</v>
      </c>
      <c r="B5" s="14" t="s">
        <v>6</v>
      </c>
      <c r="C5" s="14" t="s">
        <v>3130</v>
      </c>
      <c r="D5" s="19"/>
      <c r="E5" s="19"/>
      <c r="F5" s="19"/>
    </row>
    <row r="6" ht="15.0" customHeight="1">
      <c r="A6" s="14" t="s">
        <v>3131</v>
      </c>
      <c r="B6" s="14" t="s">
        <v>7</v>
      </c>
      <c r="C6" s="14" t="s">
        <v>3132</v>
      </c>
      <c r="D6" s="19"/>
      <c r="E6" s="19"/>
      <c r="F6" s="19"/>
    </row>
    <row r="7" ht="15.0" customHeight="1">
      <c r="A7" s="14" t="s">
        <v>3133</v>
      </c>
      <c r="B7" s="14" t="s">
        <v>8</v>
      </c>
      <c r="C7" s="14" t="s">
        <v>3134</v>
      </c>
      <c r="D7" s="19"/>
      <c r="E7" s="19"/>
      <c r="F7" s="19"/>
    </row>
    <row r="8" ht="15.0" customHeight="1">
      <c r="A8" s="14" t="s">
        <v>3135</v>
      </c>
      <c r="B8" s="14" t="s">
        <v>9</v>
      </c>
      <c r="C8" s="14" t="s">
        <v>3136</v>
      </c>
      <c r="D8" s="19"/>
      <c r="E8" s="19"/>
      <c r="F8" s="19"/>
    </row>
    <row r="9" ht="15.0" customHeight="1">
      <c r="A9" s="14" t="s">
        <v>3137</v>
      </c>
      <c r="B9" s="14" t="s">
        <v>16</v>
      </c>
      <c r="C9" s="14" t="s">
        <v>3138</v>
      </c>
      <c r="D9" s="19"/>
      <c r="E9" s="19"/>
      <c r="F9" s="19"/>
    </row>
    <row r="10" ht="15.0" customHeight="1">
      <c r="A10" s="14" t="s">
        <v>3139</v>
      </c>
      <c r="B10" s="14" t="s">
        <v>17</v>
      </c>
      <c r="C10" s="14" t="s">
        <v>3140</v>
      </c>
      <c r="D10" s="19"/>
      <c r="E10" s="19"/>
      <c r="F10" s="19"/>
    </row>
    <row r="11">
      <c r="A11" s="14" t="s">
        <v>3141</v>
      </c>
      <c r="B11" s="14" t="s">
        <v>19</v>
      </c>
      <c r="C11" s="25" t="s">
        <v>3142</v>
      </c>
      <c r="D11" s="19"/>
      <c r="E11" s="19"/>
      <c r="F11" s="19"/>
    </row>
    <row r="12" ht="15.0" customHeight="1">
      <c r="A12" s="14" t="s">
        <v>3143</v>
      </c>
      <c r="B12" s="14" t="s">
        <v>20</v>
      </c>
      <c r="C12" s="25" t="s">
        <v>3144</v>
      </c>
      <c r="D12" s="19"/>
      <c r="E12" s="19"/>
      <c r="F12" s="19"/>
    </row>
    <row r="13" ht="15.0" customHeight="1">
      <c r="A13" s="14" t="s">
        <v>3145</v>
      </c>
      <c r="B13" s="14" t="s">
        <v>22</v>
      </c>
      <c r="C13" s="14" t="s">
        <v>3146</v>
      </c>
      <c r="D13" s="19"/>
      <c r="E13" s="19"/>
      <c r="F13" s="19"/>
    </row>
    <row r="14" ht="15.0" customHeight="1">
      <c r="A14" s="14" t="s">
        <v>3147</v>
      </c>
      <c r="B14" s="14" t="s">
        <v>25</v>
      </c>
      <c r="C14" s="14" t="s">
        <v>3148</v>
      </c>
      <c r="D14" s="19"/>
      <c r="E14" s="19"/>
      <c r="F14" s="19"/>
    </row>
    <row r="15">
      <c r="A15" s="19"/>
      <c r="B15" s="19"/>
      <c r="C15" s="19"/>
      <c r="D15" s="19"/>
      <c r="E15" s="19"/>
      <c r="F15" s="19"/>
    </row>
    <row r="16">
      <c r="A16" s="19"/>
      <c r="B16" s="19"/>
      <c r="C16" s="19"/>
      <c r="D16" s="19"/>
      <c r="E16" s="19"/>
      <c r="F16" s="19"/>
    </row>
    <row r="17">
      <c r="A17" s="19"/>
      <c r="B17" s="19"/>
      <c r="C17" s="19"/>
      <c r="D17" s="19"/>
      <c r="E17" s="19"/>
      <c r="F17" s="19"/>
    </row>
    <row r="18">
      <c r="A18" s="19"/>
      <c r="B18" s="19"/>
      <c r="C18" s="19"/>
      <c r="D18" s="19"/>
      <c r="E18" s="19"/>
      <c r="F18" s="19"/>
    </row>
    <row r="19">
      <c r="A19" s="19"/>
      <c r="B19" s="19"/>
      <c r="C19" s="19"/>
      <c r="D19" s="19"/>
      <c r="E19" s="19"/>
      <c r="F19" s="19"/>
    </row>
    <row r="20">
      <c r="A20" s="19"/>
      <c r="B20" s="19"/>
      <c r="C20" s="19"/>
      <c r="D20" s="19"/>
      <c r="E20" s="19"/>
      <c r="F20" s="19"/>
    </row>
    <row r="21" ht="15.75" customHeight="1">
      <c r="A21" s="19"/>
      <c r="B21" s="19"/>
      <c r="C21" s="19"/>
      <c r="D21" s="19"/>
      <c r="E21" s="19"/>
      <c r="F21" s="19"/>
    </row>
    <row r="22" ht="15.75" customHeight="1">
      <c r="A22" s="19"/>
      <c r="B22" s="19"/>
      <c r="C22" s="19"/>
      <c r="D22" s="19"/>
      <c r="E22" s="19"/>
      <c r="F22" s="19"/>
    </row>
    <row r="23" ht="15.75" customHeight="1">
      <c r="A23" s="19"/>
      <c r="B23" s="19"/>
      <c r="C23" s="19"/>
      <c r="D23" s="19"/>
      <c r="E23" s="19"/>
      <c r="F23" s="19"/>
    </row>
    <row r="24" ht="15.75" customHeight="1">
      <c r="A24" s="19"/>
      <c r="B24" s="19"/>
      <c r="C24" s="19"/>
      <c r="D24" s="19"/>
      <c r="E24" s="19"/>
      <c r="F24" s="19"/>
    </row>
    <row r="25" ht="15.75" customHeight="1">
      <c r="A25" s="19"/>
      <c r="B25" s="19"/>
      <c r="C25" s="19"/>
      <c r="D25" s="19"/>
      <c r="E25" s="19"/>
      <c r="F25" s="19"/>
    </row>
    <row r="26" ht="15.75" customHeight="1">
      <c r="A26" s="19"/>
      <c r="B26" s="19"/>
      <c r="C26" s="19"/>
      <c r="D26" s="19"/>
      <c r="E26" s="19"/>
      <c r="F26" s="19"/>
    </row>
    <row r="27" ht="15.75" customHeight="1">
      <c r="A27" s="19"/>
      <c r="B27" s="19"/>
      <c r="C27" s="19"/>
      <c r="D27" s="19"/>
      <c r="E27" s="19"/>
      <c r="F27" s="19"/>
    </row>
    <row r="28" ht="15.75" customHeight="1">
      <c r="A28" s="19"/>
      <c r="B28" s="19"/>
      <c r="C28" s="19"/>
      <c r="D28" s="19"/>
      <c r="E28" s="19"/>
      <c r="F28" s="19"/>
    </row>
    <row r="29" ht="15.75" customHeight="1">
      <c r="A29" s="19"/>
      <c r="B29" s="19"/>
      <c r="C29" s="19"/>
      <c r="D29" s="19"/>
      <c r="E29" s="19"/>
      <c r="F29" s="19"/>
    </row>
    <row r="30" ht="15.75" customHeight="1">
      <c r="A30" s="19"/>
      <c r="B30" s="19"/>
      <c r="C30" s="19"/>
      <c r="D30" s="19"/>
      <c r="E30" s="19"/>
      <c r="F30" s="19"/>
    </row>
    <row r="31" ht="15.75" customHeight="1">
      <c r="A31" s="19"/>
      <c r="B31" s="19"/>
      <c r="C31" s="19"/>
      <c r="D31" s="19"/>
      <c r="E31" s="19"/>
      <c r="F31" s="19"/>
    </row>
    <row r="32" ht="15.75" customHeight="1">
      <c r="A32" s="19"/>
      <c r="B32" s="19"/>
      <c r="C32" s="19"/>
      <c r="D32" s="19"/>
      <c r="E32" s="19"/>
      <c r="F32" s="19"/>
    </row>
    <row r="33" ht="15.75" customHeight="1">
      <c r="A33" s="19"/>
      <c r="B33" s="19"/>
      <c r="C33" s="19"/>
      <c r="D33" s="19"/>
      <c r="E33" s="19"/>
      <c r="F33" s="19"/>
    </row>
    <row r="34" ht="15.75" customHeight="1">
      <c r="A34" s="19"/>
      <c r="B34" s="19"/>
      <c r="C34" s="19"/>
      <c r="D34" s="19"/>
      <c r="E34" s="19"/>
      <c r="F34" s="19"/>
    </row>
    <row r="35" ht="15.75" customHeight="1">
      <c r="A35" s="19"/>
      <c r="B35" s="19"/>
      <c r="C35" s="19"/>
      <c r="D35" s="19"/>
      <c r="E35" s="19"/>
      <c r="F35" s="19"/>
    </row>
    <row r="36" ht="15.75" customHeight="1">
      <c r="A36" s="19"/>
      <c r="B36" s="19"/>
      <c r="C36" s="19"/>
      <c r="D36" s="19"/>
      <c r="E36" s="19"/>
      <c r="F36" s="19"/>
    </row>
    <row r="37" ht="15.75" customHeight="1">
      <c r="A37" s="19"/>
      <c r="B37" s="19"/>
      <c r="C37" s="19"/>
      <c r="D37" s="19"/>
      <c r="E37" s="19"/>
      <c r="F37" s="19"/>
    </row>
    <row r="38" ht="15.75" customHeight="1">
      <c r="A38" s="19"/>
      <c r="B38" s="19"/>
      <c r="C38" s="19"/>
      <c r="D38" s="19"/>
      <c r="E38" s="19"/>
      <c r="F38" s="19"/>
    </row>
    <row r="39" ht="15.75" customHeight="1">
      <c r="A39" s="19"/>
      <c r="B39" s="19"/>
      <c r="C39" s="19"/>
      <c r="D39" s="19"/>
      <c r="E39" s="19"/>
      <c r="F39" s="19"/>
    </row>
    <row r="40" ht="15.75" customHeight="1">
      <c r="A40" s="19"/>
      <c r="B40" s="19"/>
      <c r="C40" s="19"/>
      <c r="D40" s="19"/>
      <c r="E40" s="19"/>
      <c r="F40" s="19"/>
    </row>
    <row r="41" ht="15.75" customHeight="1">
      <c r="A41" s="19"/>
      <c r="B41" s="19"/>
      <c r="C41" s="19"/>
      <c r="D41" s="19"/>
      <c r="E41" s="19"/>
      <c r="F41" s="19"/>
    </row>
    <row r="42" ht="15.75" customHeight="1">
      <c r="A42" s="19"/>
      <c r="B42" s="19"/>
      <c r="C42" s="19"/>
      <c r="D42" s="19"/>
      <c r="E42" s="19"/>
      <c r="F42" s="19"/>
    </row>
    <row r="43" ht="15.75" customHeight="1">
      <c r="A43" s="19"/>
      <c r="B43" s="19"/>
      <c r="C43" s="19"/>
      <c r="D43" s="19"/>
      <c r="E43" s="19"/>
      <c r="F43" s="19"/>
    </row>
    <row r="44" ht="15.75" customHeight="1">
      <c r="A44" s="19"/>
      <c r="B44" s="19"/>
      <c r="C44" s="19"/>
      <c r="D44" s="19"/>
      <c r="E44" s="19"/>
      <c r="F44" s="19"/>
    </row>
    <row r="45" ht="15.75" customHeight="1">
      <c r="A45" s="19"/>
      <c r="B45" s="19"/>
      <c r="C45" s="19"/>
      <c r="D45" s="19"/>
      <c r="E45" s="19"/>
      <c r="F45" s="19"/>
    </row>
    <row r="46" ht="15.75" customHeight="1">
      <c r="A46" s="19"/>
      <c r="B46" s="19"/>
      <c r="C46" s="19"/>
      <c r="D46" s="19"/>
      <c r="E46" s="19"/>
      <c r="F46" s="19"/>
    </row>
    <row r="47" ht="15.75" customHeight="1">
      <c r="A47" s="19"/>
      <c r="B47" s="19"/>
      <c r="C47" s="19"/>
      <c r="D47" s="19"/>
      <c r="E47" s="19"/>
      <c r="F47" s="19"/>
    </row>
    <row r="48" ht="15.75" customHeight="1">
      <c r="A48" s="19"/>
      <c r="B48" s="19"/>
      <c r="C48" s="19"/>
      <c r="D48" s="19"/>
      <c r="E48" s="19"/>
      <c r="F48" s="19"/>
    </row>
    <row r="49" ht="15.75" customHeight="1">
      <c r="A49" s="19"/>
      <c r="B49" s="19"/>
      <c r="C49" s="19"/>
      <c r="D49" s="19"/>
      <c r="E49" s="19"/>
      <c r="F49" s="19"/>
    </row>
    <row r="50" ht="15.75" customHeight="1">
      <c r="A50" s="19"/>
      <c r="B50" s="19"/>
      <c r="C50" s="19"/>
      <c r="D50" s="19"/>
      <c r="E50" s="19"/>
      <c r="F50" s="19"/>
    </row>
    <row r="51" ht="15.75" customHeight="1">
      <c r="A51" s="19"/>
      <c r="B51" s="19"/>
      <c r="C51" s="19"/>
      <c r="D51" s="19"/>
      <c r="E51" s="19"/>
      <c r="F51" s="19"/>
    </row>
    <row r="52" ht="15.75" customHeight="1">
      <c r="A52" s="19"/>
      <c r="B52" s="19"/>
      <c r="C52" s="19"/>
      <c r="D52" s="19"/>
      <c r="E52" s="19"/>
      <c r="F52" s="19"/>
    </row>
    <row r="53" ht="15.75" customHeight="1">
      <c r="A53" s="19"/>
      <c r="B53" s="19"/>
      <c r="C53" s="19"/>
      <c r="D53" s="19"/>
      <c r="E53" s="19"/>
      <c r="F53" s="19"/>
    </row>
    <row r="54" ht="15.75" customHeight="1">
      <c r="A54" s="19"/>
      <c r="B54" s="19"/>
      <c r="C54" s="19"/>
      <c r="D54" s="19"/>
      <c r="E54" s="19"/>
      <c r="F54" s="19"/>
    </row>
    <row r="55" ht="15.75" customHeight="1">
      <c r="A55" s="19"/>
      <c r="B55" s="19"/>
      <c r="C55" s="19"/>
      <c r="D55" s="19"/>
      <c r="E55" s="19"/>
      <c r="F55" s="19"/>
    </row>
    <row r="56" ht="15.75" customHeight="1">
      <c r="A56" s="19"/>
      <c r="B56" s="19"/>
      <c r="C56" s="19"/>
      <c r="D56" s="19"/>
      <c r="E56" s="19"/>
      <c r="F56" s="19"/>
    </row>
    <row r="57" ht="15.75" customHeight="1">
      <c r="A57" s="19"/>
      <c r="B57" s="19"/>
      <c r="C57" s="19"/>
      <c r="D57" s="19"/>
      <c r="E57" s="19"/>
      <c r="F57" s="19"/>
    </row>
    <row r="58" ht="15.75" customHeight="1">
      <c r="A58" s="19"/>
      <c r="B58" s="19"/>
      <c r="C58" s="19"/>
      <c r="D58" s="19"/>
      <c r="E58" s="19"/>
      <c r="F58" s="19"/>
    </row>
    <row r="59" ht="15.75" customHeight="1">
      <c r="A59" s="19"/>
      <c r="B59" s="19"/>
      <c r="C59" s="19"/>
      <c r="D59" s="19"/>
      <c r="E59" s="19"/>
      <c r="F59" s="19"/>
    </row>
    <row r="60" ht="15.75" customHeight="1">
      <c r="A60" s="19"/>
      <c r="B60" s="19"/>
      <c r="C60" s="19"/>
      <c r="D60" s="19"/>
      <c r="E60" s="19"/>
      <c r="F60" s="19"/>
    </row>
    <row r="61" ht="15.75" customHeight="1">
      <c r="A61" s="19"/>
      <c r="B61" s="19"/>
      <c r="C61" s="19"/>
      <c r="D61" s="19"/>
      <c r="E61" s="19"/>
      <c r="F61" s="19"/>
    </row>
    <row r="62" ht="15.75" customHeight="1">
      <c r="A62" s="19"/>
      <c r="B62" s="19"/>
      <c r="C62" s="19"/>
      <c r="D62" s="19"/>
      <c r="E62" s="19"/>
      <c r="F62" s="19"/>
    </row>
    <row r="63" ht="15.75" customHeight="1">
      <c r="A63" s="19"/>
      <c r="B63" s="19"/>
      <c r="C63" s="19"/>
      <c r="D63" s="19"/>
      <c r="E63" s="19"/>
      <c r="F63" s="19"/>
    </row>
    <row r="64" ht="15.75" customHeight="1">
      <c r="A64" s="19"/>
      <c r="B64" s="19"/>
      <c r="C64" s="19"/>
      <c r="D64" s="19"/>
      <c r="E64" s="19"/>
      <c r="F64" s="19"/>
    </row>
    <row r="65" ht="15.75" customHeight="1">
      <c r="A65" s="19"/>
      <c r="B65" s="19"/>
      <c r="C65" s="19"/>
      <c r="D65" s="19"/>
      <c r="E65" s="19"/>
      <c r="F65" s="19"/>
    </row>
    <row r="66" ht="15.75" customHeight="1">
      <c r="A66" s="19"/>
      <c r="B66" s="19"/>
      <c r="C66" s="19"/>
      <c r="D66" s="19"/>
      <c r="E66" s="19"/>
      <c r="F66" s="19"/>
    </row>
    <row r="67" ht="15.75" customHeight="1">
      <c r="A67" s="19"/>
      <c r="B67" s="19"/>
      <c r="C67" s="19"/>
      <c r="D67" s="19"/>
      <c r="E67" s="19"/>
      <c r="F67" s="19"/>
    </row>
    <row r="68" ht="15.75" customHeight="1">
      <c r="A68" s="19"/>
      <c r="B68" s="19"/>
      <c r="C68" s="19"/>
      <c r="D68" s="19"/>
      <c r="E68" s="19"/>
      <c r="F68" s="19"/>
    </row>
    <row r="69" ht="15.75" customHeight="1">
      <c r="A69" s="19"/>
      <c r="B69" s="19"/>
      <c r="C69" s="19"/>
      <c r="D69" s="19"/>
      <c r="E69" s="19"/>
      <c r="F69" s="19"/>
    </row>
    <row r="70" ht="15.75" customHeight="1">
      <c r="A70" s="19"/>
      <c r="B70" s="19"/>
      <c r="C70" s="19"/>
      <c r="D70" s="19"/>
      <c r="E70" s="19"/>
      <c r="F70" s="19"/>
    </row>
    <row r="71" ht="15.75" customHeight="1">
      <c r="A71" s="19"/>
      <c r="B71" s="19"/>
      <c r="C71" s="19"/>
      <c r="D71" s="19"/>
      <c r="E71" s="19"/>
      <c r="F71" s="19"/>
    </row>
    <row r="72" ht="15.75" customHeight="1">
      <c r="A72" s="19"/>
      <c r="B72" s="19"/>
      <c r="C72" s="19"/>
      <c r="D72" s="19"/>
      <c r="E72" s="19"/>
      <c r="F72" s="19"/>
    </row>
    <row r="73" ht="15.75" customHeight="1">
      <c r="A73" s="19"/>
      <c r="B73" s="19"/>
      <c r="C73" s="19"/>
      <c r="D73" s="19"/>
      <c r="E73" s="19"/>
      <c r="F73" s="19"/>
    </row>
    <row r="74" ht="15.75" customHeight="1">
      <c r="A74" s="19"/>
      <c r="B74" s="19"/>
      <c r="C74" s="19"/>
      <c r="D74" s="19"/>
      <c r="E74" s="19"/>
      <c r="F74" s="19"/>
    </row>
    <row r="75" ht="15.75" customHeight="1">
      <c r="A75" s="19"/>
      <c r="B75" s="19"/>
      <c r="C75" s="19"/>
      <c r="D75" s="19"/>
      <c r="E75" s="19"/>
      <c r="F75" s="19"/>
    </row>
    <row r="76" ht="15.75" customHeight="1">
      <c r="A76" s="19"/>
      <c r="B76" s="19"/>
      <c r="C76" s="19"/>
      <c r="D76" s="19"/>
      <c r="E76" s="19"/>
      <c r="F76" s="19"/>
    </row>
    <row r="77" ht="15.75" customHeight="1">
      <c r="A77" s="19"/>
      <c r="B77" s="19"/>
      <c r="C77" s="19"/>
      <c r="D77" s="19"/>
      <c r="E77" s="19"/>
      <c r="F77" s="19"/>
    </row>
    <row r="78" ht="15.75" customHeight="1">
      <c r="A78" s="19"/>
      <c r="B78" s="19"/>
      <c r="C78" s="19"/>
      <c r="D78" s="19"/>
      <c r="E78" s="19"/>
      <c r="F78" s="19"/>
    </row>
    <row r="79" ht="15.75" customHeight="1">
      <c r="A79" s="19"/>
      <c r="B79" s="19"/>
      <c r="C79" s="19"/>
      <c r="D79" s="19"/>
      <c r="E79" s="19"/>
      <c r="F79" s="19"/>
    </row>
    <row r="80" ht="15.75" customHeight="1">
      <c r="A80" s="19"/>
      <c r="B80" s="19"/>
      <c r="C80" s="19"/>
      <c r="D80" s="19"/>
      <c r="E80" s="19"/>
      <c r="F80" s="19"/>
    </row>
    <row r="81" ht="15.75" customHeight="1">
      <c r="A81" s="19"/>
      <c r="B81" s="19"/>
      <c r="C81" s="19"/>
      <c r="D81" s="19"/>
      <c r="E81" s="19"/>
      <c r="F81" s="19"/>
    </row>
    <row r="82" ht="15.75" customHeight="1">
      <c r="A82" s="19"/>
      <c r="B82" s="19"/>
      <c r="C82" s="19"/>
      <c r="D82" s="19"/>
      <c r="E82" s="19"/>
      <c r="F82" s="19"/>
    </row>
    <row r="83" ht="15.75" customHeight="1">
      <c r="A83" s="19"/>
      <c r="B83" s="19"/>
      <c r="C83" s="19"/>
      <c r="D83" s="19"/>
      <c r="E83" s="19"/>
      <c r="F83" s="19"/>
    </row>
    <row r="84" ht="15.75" customHeight="1">
      <c r="A84" s="19"/>
      <c r="B84" s="19"/>
      <c r="C84" s="19"/>
      <c r="D84" s="19"/>
      <c r="E84" s="19"/>
      <c r="F84" s="19"/>
    </row>
    <row r="85" ht="15.75" customHeight="1">
      <c r="A85" s="19"/>
      <c r="B85" s="19"/>
      <c r="C85" s="19"/>
      <c r="D85" s="19"/>
      <c r="E85" s="19"/>
      <c r="F85" s="19"/>
    </row>
    <row r="86" ht="15.75" customHeight="1">
      <c r="A86" s="19"/>
      <c r="B86" s="19"/>
      <c r="C86" s="19"/>
      <c r="D86" s="19"/>
      <c r="E86" s="19"/>
      <c r="F86" s="19"/>
    </row>
    <row r="87" ht="15.75" customHeight="1">
      <c r="A87" s="19"/>
      <c r="B87" s="19"/>
      <c r="C87" s="19"/>
      <c r="D87" s="19"/>
      <c r="E87" s="19"/>
      <c r="F87" s="19"/>
    </row>
    <row r="88" ht="15.75" customHeight="1">
      <c r="A88" s="19"/>
      <c r="B88" s="19"/>
      <c r="C88" s="19"/>
      <c r="D88" s="19"/>
      <c r="E88" s="19"/>
      <c r="F88" s="19"/>
    </row>
    <row r="89" ht="15.75" customHeight="1">
      <c r="A89" s="19"/>
      <c r="B89" s="19"/>
      <c r="C89" s="19"/>
      <c r="D89" s="19"/>
      <c r="E89" s="19"/>
      <c r="F89" s="19"/>
    </row>
    <row r="90" ht="15.75" customHeight="1">
      <c r="A90" s="19"/>
      <c r="B90" s="19"/>
      <c r="C90" s="19"/>
      <c r="D90" s="19"/>
      <c r="E90" s="19"/>
      <c r="F90" s="19"/>
    </row>
    <row r="91" ht="15.75" customHeight="1">
      <c r="A91" s="19"/>
      <c r="B91" s="19"/>
      <c r="C91" s="19"/>
      <c r="D91" s="19"/>
      <c r="E91" s="19"/>
      <c r="F91" s="19"/>
    </row>
    <row r="92" ht="15.75" customHeight="1">
      <c r="A92" s="19"/>
      <c r="B92" s="19"/>
      <c r="C92" s="19"/>
      <c r="D92" s="19"/>
      <c r="E92" s="19"/>
      <c r="F92" s="19"/>
    </row>
    <row r="93" ht="15.75" customHeight="1">
      <c r="A93" s="19"/>
      <c r="B93" s="19"/>
      <c r="C93" s="19"/>
      <c r="D93" s="19"/>
      <c r="E93" s="19"/>
      <c r="F93" s="19"/>
    </row>
    <row r="94" ht="15.75" customHeight="1">
      <c r="A94" s="19"/>
      <c r="B94" s="19"/>
      <c r="C94" s="19"/>
      <c r="D94" s="19"/>
      <c r="E94" s="19"/>
      <c r="F94" s="19"/>
    </row>
    <row r="95" ht="15.75" customHeight="1">
      <c r="A95" s="19"/>
      <c r="B95" s="19"/>
      <c r="C95" s="19"/>
      <c r="D95" s="19"/>
      <c r="E95" s="19"/>
      <c r="F95" s="19"/>
    </row>
    <row r="96" ht="15.75" customHeight="1">
      <c r="A96" s="19"/>
      <c r="B96" s="19"/>
      <c r="C96" s="19"/>
      <c r="D96" s="19"/>
      <c r="E96" s="19"/>
      <c r="F96" s="19"/>
    </row>
    <row r="97" ht="15.75" customHeight="1">
      <c r="A97" s="19"/>
      <c r="B97" s="19"/>
      <c r="C97" s="19"/>
      <c r="D97" s="19"/>
      <c r="E97" s="19"/>
      <c r="F97" s="19"/>
    </row>
    <row r="98" ht="15.75" customHeight="1">
      <c r="A98" s="19"/>
      <c r="B98" s="19"/>
      <c r="C98" s="19"/>
      <c r="D98" s="19"/>
      <c r="E98" s="19"/>
      <c r="F98" s="19"/>
    </row>
    <row r="99" ht="15.75" customHeight="1">
      <c r="A99" s="19"/>
      <c r="B99" s="19"/>
      <c r="C99" s="19"/>
      <c r="D99" s="19"/>
      <c r="E99" s="19"/>
      <c r="F99" s="19"/>
    </row>
    <row r="100" ht="15.75" customHeight="1">
      <c r="A100" s="19"/>
      <c r="B100" s="19"/>
      <c r="C100" s="19"/>
      <c r="D100" s="19"/>
      <c r="E100" s="19"/>
      <c r="F100" s="19"/>
    </row>
    <row r="101" ht="15.75" customHeight="1">
      <c r="A101" s="19"/>
      <c r="B101" s="19"/>
      <c r="C101" s="19"/>
      <c r="D101" s="19"/>
      <c r="E101" s="19"/>
      <c r="F101" s="19"/>
    </row>
    <row r="102" ht="15.75" customHeight="1">
      <c r="A102" s="19"/>
      <c r="B102" s="19"/>
      <c r="C102" s="19"/>
      <c r="D102" s="19"/>
      <c r="E102" s="19"/>
      <c r="F102" s="19"/>
    </row>
    <row r="103" ht="15.75" customHeight="1">
      <c r="A103" s="19"/>
      <c r="B103" s="19"/>
      <c r="C103" s="19"/>
      <c r="D103" s="19"/>
      <c r="E103" s="19"/>
      <c r="F103" s="19"/>
    </row>
    <row r="104" ht="15.75" customHeight="1">
      <c r="A104" s="19"/>
      <c r="B104" s="19"/>
      <c r="C104" s="19"/>
      <c r="D104" s="19"/>
      <c r="E104" s="19"/>
      <c r="F104" s="19"/>
    </row>
    <row r="105" ht="15.75" customHeight="1">
      <c r="A105" s="19"/>
      <c r="B105" s="19"/>
      <c r="C105" s="19"/>
      <c r="D105" s="19"/>
      <c r="E105" s="19"/>
      <c r="F105" s="19"/>
    </row>
    <row r="106" ht="15.75" customHeight="1">
      <c r="A106" s="19"/>
      <c r="B106" s="19"/>
      <c r="C106" s="19"/>
      <c r="D106" s="19"/>
      <c r="E106" s="19"/>
      <c r="F106" s="19"/>
    </row>
    <row r="107" ht="15.75" customHeight="1">
      <c r="A107" s="19"/>
      <c r="B107" s="19"/>
      <c r="C107" s="19"/>
      <c r="D107" s="19"/>
      <c r="E107" s="19"/>
      <c r="F107" s="19"/>
    </row>
    <row r="108" ht="15.75" customHeight="1">
      <c r="A108" s="19"/>
      <c r="B108" s="19"/>
      <c r="C108" s="19"/>
      <c r="D108" s="19"/>
      <c r="E108" s="19"/>
      <c r="F108" s="19"/>
    </row>
    <row r="109" ht="15.75" customHeight="1">
      <c r="A109" s="19"/>
      <c r="B109" s="19"/>
      <c r="C109" s="19"/>
      <c r="D109" s="19"/>
      <c r="E109" s="19"/>
      <c r="F109" s="19"/>
    </row>
    <row r="110" ht="15.75" customHeight="1">
      <c r="A110" s="19"/>
      <c r="B110" s="19"/>
      <c r="C110" s="19"/>
      <c r="D110" s="19"/>
      <c r="E110" s="19"/>
      <c r="F110" s="19"/>
    </row>
    <row r="111" ht="15.75" customHeight="1">
      <c r="A111" s="19"/>
      <c r="B111" s="19"/>
      <c r="C111" s="19"/>
      <c r="D111" s="19"/>
      <c r="E111" s="19"/>
      <c r="F111" s="19"/>
    </row>
    <row r="112" ht="15.75" customHeight="1">
      <c r="A112" s="19"/>
      <c r="B112" s="19"/>
      <c r="C112" s="19"/>
      <c r="D112" s="19"/>
      <c r="E112" s="19"/>
      <c r="F112" s="19"/>
    </row>
    <row r="113" ht="15.75" customHeight="1">
      <c r="A113" s="19"/>
      <c r="B113" s="19"/>
      <c r="C113" s="19"/>
      <c r="D113" s="19"/>
      <c r="E113" s="19"/>
      <c r="F113" s="19"/>
    </row>
    <row r="114" ht="15.75" customHeight="1">
      <c r="A114" s="19"/>
      <c r="B114" s="19"/>
      <c r="C114" s="19"/>
      <c r="D114" s="19"/>
      <c r="E114" s="19"/>
      <c r="F114" s="19"/>
    </row>
    <row r="115" ht="15.75" customHeight="1">
      <c r="A115" s="19"/>
      <c r="B115" s="19"/>
      <c r="C115" s="19"/>
      <c r="D115" s="19"/>
      <c r="E115" s="19"/>
      <c r="F115" s="19"/>
    </row>
    <row r="116" ht="15.75" customHeight="1">
      <c r="A116" s="19"/>
      <c r="B116" s="19"/>
      <c r="C116" s="19"/>
      <c r="D116" s="19"/>
      <c r="E116" s="19"/>
      <c r="F116" s="19"/>
    </row>
    <row r="117" ht="15.75" customHeight="1">
      <c r="A117" s="19"/>
      <c r="B117" s="19"/>
      <c r="C117" s="19"/>
      <c r="D117" s="19"/>
      <c r="E117" s="19"/>
      <c r="F117" s="19"/>
    </row>
    <row r="118" ht="15.75" customHeight="1">
      <c r="A118" s="19"/>
      <c r="B118" s="19"/>
      <c r="C118" s="19"/>
      <c r="D118" s="19"/>
      <c r="E118" s="19"/>
      <c r="F118" s="19"/>
    </row>
    <row r="119" ht="15.75" customHeight="1">
      <c r="A119" s="19"/>
      <c r="B119" s="19"/>
      <c r="C119" s="19"/>
      <c r="D119" s="19"/>
      <c r="E119" s="19"/>
      <c r="F119" s="19"/>
    </row>
    <row r="120" ht="15.75" customHeight="1">
      <c r="A120" s="19"/>
      <c r="B120" s="19"/>
      <c r="C120" s="19"/>
      <c r="D120" s="19"/>
      <c r="E120" s="19"/>
      <c r="F120" s="19"/>
    </row>
    <row r="121" ht="15.75" customHeight="1">
      <c r="A121" s="19"/>
      <c r="B121" s="19"/>
      <c r="C121" s="19"/>
      <c r="D121" s="19"/>
      <c r="E121" s="19"/>
      <c r="F121" s="19"/>
    </row>
    <row r="122" ht="15.75" customHeight="1">
      <c r="A122" s="19"/>
      <c r="B122" s="19"/>
      <c r="C122" s="19"/>
      <c r="D122" s="19"/>
      <c r="E122" s="19"/>
      <c r="F122" s="19"/>
    </row>
    <row r="123" ht="15.75" customHeight="1">
      <c r="A123" s="19"/>
      <c r="B123" s="19"/>
      <c r="C123" s="19"/>
      <c r="D123" s="19"/>
      <c r="E123" s="19"/>
      <c r="F123" s="19"/>
    </row>
    <row r="124" ht="15.75" customHeight="1">
      <c r="A124" s="19"/>
      <c r="B124" s="19"/>
      <c r="C124" s="19"/>
      <c r="D124" s="19"/>
      <c r="E124" s="19"/>
      <c r="F124" s="19"/>
    </row>
    <row r="125" ht="15.75" customHeight="1">
      <c r="A125" s="19"/>
      <c r="B125" s="19"/>
      <c r="C125" s="19"/>
      <c r="D125" s="19"/>
      <c r="E125" s="19"/>
      <c r="F125" s="19"/>
    </row>
    <row r="126" ht="15.75" customHeight="1">
      <c r="A126" s="19"/>
      <c r="B126" s="19"/>
      <c r="C126" s="19"/>
      <c r="D126" s="19"/>
      <c r="E126" s="19"/>
      <c r="F126" s="19"/>
    </row>
    <row r="127" ht="15.75" customHeight="1">
      <c r="A127" s="19"/>
      <c r="B127" s="19"/>
      <c r="C127" s="19"/>
      <c r="D127" s="19"/>
      <c r="E127" s="19"/>
      <c r="F127" s="19"/>
    </row>
    <row r="128" ht="15.75" customHeight="1">
      <c r="A128" s="19"/>
      <c r="B128" s="19"/>
      <c r="C128" s="19"/>
      <c r="D128" s="19"/>
      <c r="E128" s="19"/>
      <c r="F128" s="19"/>
    </row>
    <row r="129" ht="15.75" customHeight="1">
      <c r="A129" s="19"/>
      <c r="B129" s="19"/>
      <c r="C129" s="19"/>
      <c r="D129" s="19"/>
      <c r="E129" s="19"/>
      <c r="F129" s="19"/>
    </row>
    <row r="130" ht="15.75" customHeight="1">
      <c r="A130" s="19"/>
      <c r="B130" s="19"/>
      <c r="C130" s="19"/>
      <c r="D130" s="19"/>
      <c r="E130" s="19"/>
      <c r="F130" s="19"/>
    </row>
    <row r="131" ht="15.75" customHeight="1">
      <c r="A131" s="19"/>
      <c r="B131" s="19"/>
      <c r="C131" s="19"/>
      <c r="D131" s="19"/>
      <c r="E131" s="19"/>
      <c r="F131" s="19"/>
    </row>
    <row r="132" ht="15.75" customHeight="1">
      <c r="A132" s="19"/>
      <c r="B132" s="19"/>
      <c r="C132" s="19"/>
      <c r="D132" s="19"/>
      <c r="E132" s="19"/>
      <c r="F132" s="19"/>
    </row>
    <row r="133" ht="15.75" customHeight="1">
      <c r="A133" s="19"/>
      <c r="B133" s="19"/>
      <c r="C133" s="19"/>
      <c r="D133" s="19"/>
      <c r="E133" s="19"/>
      <c r="F133" s="19"/>
    </row>
    <row r="134" ht="15.75" customHeight="1">
      <c r="A134" s="19"/>
      <c r="B134" s="19"/>
      <c r="C134" s="19"/>
      <c r="D134" s="19"/>
      <c r="E134" s="19"/>
      <c r="F134" s="19"/>
    </row>
    <row r="135" ht="15.75" customHeight="1">
      <c r="A135" s="19"/>
      <c r="B135" s="19"/>
      <c r="C135" s="19"/>
      <c r="D135" s="19"/>
      <c r="E135" s="19"/>
      <c r="F135" s="19"/>
    </row>
    <row r="136" ht="15.75" customHeight="1">
      <c r="A136" s="19"/>
      <c r="B136" s="19"/>
      <c r="C136" s="19"/>
      <c r="D136" s="19"/>
      <c r="E136" s="19"/>
      <c r="F136" s="19"/>
    </row>
    <row r="137" ht="15.75" customHeight="1">
      <c r="A137" s="19"/>
      <c r="B137" s="19"/>
      <c r="C137" s="19"/>
      <c r="D137" s="19"/>
      <c r="E137" s="19"/>
      <c r="F137" s="19"/>
    </row>
    <row r="138" ht="15.75" customHeight="1">
      <c r="A138" s="19"/>
      <c r="B138" s="19"/>
      <c r="C138" s="19"/>
      <c r="D138" s="19"/>
      <c r="E138" s="19"/>
      <c r="F138" s="19"/>
    </row>
    <row r="139" ht="15.75" customHeight="1">
      <c r="A139" s="19"/>
      <c r="B139" s="19"/>
      <c r="C139" s="19"/>
      <c r="D139" s="19"/>
      <c r="E139" s="19"/>
      <c r="F139" s="19"/>
    </row>
    <row r="140" ht="15.75" customHeight="1">
      <c r="A140" s="19"/>
      <c r="B140" s="19"/>
      <c r="C140" s="19"/>
      <c r="D140" s="19"/>
      <c r="E140" s="19"/>
      <c r="F140" s="19"/>
    </row>
    <row r="141" ht="15.75" customHeight="1">
      <c r="A141" s="19"/>
      <c r="B141" s="19"/>
      <c r="C141" s="19"/>
      <c r="D141" s="19"/>
      <c r="E141" s="19"/>
      <c r="F141" s="19"/>
    </row>
    <row r="142" ht="15.75" customHeight="1">
      <c r="A142" s="19"/>
      <c r="B142" s="19"/>
      <c r="C142" s="19"/>
      <c r="D142" s="19"/>
      <c r="E142" s="19"/>
      <c r="F142" s="19"/>
    </row>
    <row r="143" ht="15.75" customHeight="1">
      <c r="A143" s="19"/>
      <c r="B143" s="19"/>
      <c r="C143" s="19"/>
      <c r="D143" s="19"/>
      <c r="E143" s="19"/>
      <c r="F143" s="19"/>
    </row>
    <row r="144" ht="15.75" customHeight="1">
      <c r="A144" s="19"/>
      <c r="B144" s="19"/>
      <c r="C144" s="19"/>
      <c r="D144" s="19"/>
      <c r="E144" s="19"/>
      <c r="F144" s="19"/>
    </row>
    <row r="145" ht="15.75" customHeight="1">
      <c r="A145" s="19"/>
      <c r="B145" s="19"/>
      <c r="C145" s="19"/>
      <c r="D145" s="19"/>
      <c r="E145" s="19"/>
      <c r="F145" s="19"/>
    </row>
    <row r="146" ht="15.75" customHeight="1">
      <c r="A146" s="19"/>
      <c r="B146" s="19"/>
      <c r="C146" s="19"/>
      <c r="D146" s="19"/>
      <c r="E146" s="19"/>
      <c r="F146" s="19"/>
    </row>
    <row r="147" ht="15.75" customHeight="1">
      <c r="A147" s="19"/>
      <c r="B147" s="19"/>
      <c r="C147" s="19"/>
      <c r="D147" s="19"/>
      <c r="E147" s="19"/>
      <c r="F147" s="19"/>
    </row>
    <row r="148" ht="15.75" customHeight="1">
      <c r="A148" s="19"/>
      <c r="B148" s="19"/>
      <c r="C148" s="19"/>
      <c r="D148" s="19"/>
      <c r="E148" s="19"/>
      <c r="F148" s="19"/>
    </row>
    <row r="149" ht="15.75" customHeight="1">
      <c r="A149" s="19"/>
      <c r="B149" s="19"/>
      <c r="C149" s="19"/>
      <c r="D149" s="19"/>
      <c r="E149" s="19"/>
      <c r="F149" s="19"/>
    </row>
    <row r="150" ht="15.75" customHeight="1">
      <c r="A150" s="19"/>
      <c r="B150" s="19"/>
      <c r="C150" s="19"/>
      <c r="D150" s="19"/>
      <c r="E150" s="19"/>
      <c r="F150" s="19"/>
    </row>
    <row r="151" ht="15.75" customHeight="1">
      <c r="A151" s="19"/>
      <c r="B151" s="19"/>
      <c r="C151" s="19"/>
      <c r="D151" s="19"/>
      <c r="E151" s="19"/>
      <c r="F151" s="19"/>
    </row>
    <row r="152" ht="15.75" customHeight="1">
      <c r="A152" s="19"/>
      <c r="B152" s="19"/>
      <c r="C152" s="19"/>
      <c r="D152" s="19"/>
      <c r="E152" s="19"/>
      <c r="F152" s="19"/>
    </row>
    <row r="153" ht="15.75" customHeight="1">
      <c r="A153" s="19"/>
      <c r="B153" s="19"/>
      <c r="C153" s="19"/>
      <c r="D153" s="19"/>
      <c r="E153" s="19"/>
      <c r="F153" s="19"/>
    </row>
    <row r="154" ht="15.75" customHeight="1">
      <c r="A154" s="19"/>
      <c r="B154" s="19"/>
      <c r="C154" s="19"/>
      <c r="D154" s="19"/>
      <c r="E154" s="19"/>
      <c r="F154" s="19"/>
    </row>
    <row r="155" ht="15.75" customHeight="1">
      <c r="A155" s="19"/>
      <c r="B155" s="19"/>
      <c r="C155" s="19"/>
      <c r="D155" s="19"/>
      <c r="E155" s="19"/>
      <c r="F155" s="19"/>
    </row>
    <row r="156" ht="15.75" customHeight="1">
      <c r="A156" s="19"/>
      <c r="B156" s="19"/>
      <c r="C156" s="19"/>
      <c r="D156" s="19"/>
      <c r="E156" s="19"/>
      <c r="F156" s="19"/>
    </row>
    <row r="157" ht="15.75" customHeight="1">
      <c r="A157" s="19"/>
      <c r="B157" s="19"/>
      <c r="C157" s="19"/>
      <c r="D157" s="19"/>
      <c r="E157" s="19"/>
      <c r="F157" s="19"/>
    </row>
    <row r="158" ht="15.75" customHeight="1">
      <c r="A158" s="19"/>
      <c r="B158" s="19"/>
      <c r="C158" s="19"/>
      <c r="D158" s="19"/>
      <c r="E158" s="19"/>
      <c r="F158" s="19"/>
    </row>
    <row r="159" ht="15.75" customHeight="1">
      <c r="A159" s="19"/>
      <c r="B159" s="19"/>
      <c r="C159" s="19"/>
      <c r="D159" s="19"/>
      <c r="E159" s="19"/>
      <c r="F159" s="19"/>
    </row>
    <row r="160" ht="15.75" customHeight="1">
      <c r="A160" s="19"/>
      <c r="B160" s="19"/>
      <c r="C160" s="19"/>
      <c r="D160" s="19"/>
      <c r="E160" s="19"/>
      <c r="F160" s="19"/>
    </row>
    <row r="161" ht="15.75" customHeight="1">
      <c r="A161" s="19"/>
      <c r="B161" s="19"/>
      <c r="C161" s="19"/>
      <c r="D161" s="19"/>
      <c r="E161" s="19"/>
      <c r="F161" s="19"/>
    </row>
    <row r="162" ht="15.75" customHeight="1">
      <c r="A162" s="19"/>
      <c r="B162" s="19"/>
      <c r="C162" s="19"/>
      <c r="D162" s="19"/>
      <c r="E162" s="19"/>
      <c r="F162" s="19"/>
    </row>
    <row r="163" ht="15.75" customHeight="1">
      <c r="A163" s="19"/>
      <c r="B163" s="19"/>
      <c r="C163" s="19"/>
      <c r="D163" s="19"/>
      <c r="E163" s="19"/>
      <c r="F163" s="19"/>
    </row>
    <row r="164" ht="15.75" customHeight="1">
      <c r="A164" s="19"/>
      <c r="B164" s="19"/>
      <c r="C164" s="19"/>
      <c r="D164" s="19"/>
      <c r="E164" s="19"/>
      <c r="F164" s="19"/>
    </row>
    <row r="165" ht="15.75" customHeight="1">
      <c r="A165" s="19"/>
      <c r="B165" s="19"/>
      <c r="C165" s="19"/>
      <c r="D165" s="19"/>
      <c r="E165" s="19"/>
      <c r="F165" s="19"/>
    </row>
    <row r="166" ht="15.75" customHeight="1">
      <c r="A166" s="19"/>
      <c r="B166" s="19"/>
      <c r="C166" s="19"/>
      <c r="D166" s="19"/>
      <c r="E166" s="19"/>
      <c r="F166" s="19"/>
    </row>
    <row r="167" ht="15.75" customHeight="1">
      <c r="A167" s="19"/>
      <c r="B167" s="19"/>
      <c r="C167" s="19"/>
      <c r="D167" s="19"/>
      <c r="E167" s="19"/>
      <c r="F167" s="19"/>
    </row>
    <row r="168" ht="15.75" customHeight="1">
      <c r="A168" s="19"/>
      <c r="B168" s="19"/>
      <c r="C168" s="19"/>
      <c r="D168" s="19"/>
      <c r="E168" s="19"/>
      <c r="F168" s="19"/>
    </row>
    <row r="169" ht="15.75" customHeight="1">
      <c r="A169" s="19"/>
      <c r="B169" s="19"/>
      <c r="C169" s="19"/>
      <c r="D169" s="19"/>
      <c r="E169" s="19"/>
      <c r="F169" s="19"/>
    </row>
    <row r="170" ht="15.75" customHeight="1">
      <c r="A170" s="19"/>
      <c r="B170" s="19"/>
      <c r="C170" s="19"/>
      <c r="D170" s="19"/>
      <c r="E170" s="19"/>
      <c r="F170" s="19"/>
    </row>
    <row r="171" ht="15.75" customHeight="1">
      <c r="A171" s="19"/>
      <c r="B171" s="19"/>
      <c r="C171" s="19"/>
      <c r="D171" s="19"/>
      <c r="E171" s="19"/>
      <c r="F171" s="19"/>
    </row>
    <row r="172" ht="15.75" customHeight="1">
      <c r="A172" s="19"/>
      <c r="B172" s="19"/>
      <c r="C172" s="19"/>
      <c r="D172" s="19"/>
      <c r="E172" s="19"/>
      <c r="F172" s="19"/>
    </row>
    <row r="173" ht="15.75" customHeight="1">
      <c r="A173" s="19"/>
      <c r="B173" s="19"/>
      <c r="C173" s="19"/>
      <c r="D173" s="19"/>
      <c r="E173" s="19"/>
      <c r="F173" s="19"/>
    </row>
    <row r="174" ht="15.75" customHeight="1">
      <c r="A174" s="19"/>
      <c r="B174" s="19"/>
      <c r="C174" s="19"/>
      <c r="D174" s="19"/>
      <c r="E174" s="19"/>
      <c r="F174" s="19"/>
    </row>
    <row r="175" ht="15.75" customHeight="1">
      <c r="A175" s="19"/>
      <c r="B175" s="19"/>
      <c r="C175" s="19"/>
      <c r="D175" s="19"/>
      <c r="E175" s="19"/>
      <c r="F175" s="19"/>
    </row>
    <row r="176" ht="15.75" customHeight="1">
      <c r="A176" s="19"/>
      <c r="B176" s="19"/>
      <c r="C176" s="19"/>
      <c r="D176" s="19"/>
      <c r="E176" s="19"/>
      <c r="F176" s="19"/>
    </row>
    <row r="177" ht="15.75" customHeight="1">
      <c r="A177" s="19"/>
      <c r="B177" s="19"/>
      <c r="C177" s="19"/>
      <c r="D177" s="19"/>
      <c r="E177" s="19"/>
      <c r="F177" s="19"/>
    </row>
    <row r="178" ht="15.75" customHeight="1">
      <c r="A178" s="19"/>
      <c r="B178" s="19"/>
      <c r="C178" s="19"/>
      <c r="D178" s="19"/>
      <c r="E178" s="19"/>
      <c r="F178" s="19"/>
    </row>
    <row r="179" ht="15.75" customHeight="1">
      <c r="A179" s="19"/>
      <c r="B179" s="19"/>
      <c r="C179" s="19"/>
      <c r="D179" s="19"/>
      <c r="E179" s="19"/>
      <c r="F179" s="19"/>
    </row>
    <row r="180" ht="15.75" customHeight="1">
      <c r="A180" s="19"/>
      <c r="B180" s="19"/>
      <c r="C180" s="19"/>
      <c r="D180" s="19"/>
      <c r="E180" s="19"/>
      <c r="F180" s="19"/>
    </row>
    <row r="181" ht="15.75" customHeight="1">
      <c r="A181" s="19"/>
      <c r="B181" s="19"/>
      <c r="C181" s="19"/>
      <c r="D181" s="19"/>
      <c r="E181" s="19"/>
      <c r="F181" s="19"/>
    </row>
    <row r="182" ht="15.75" customHeight="1">
      <c r="A182" s="19"/>
      <c r="B182" s="19"/>
      <c r="C182" s="19"/>
      <c r="D182" s="19"/>
      <c r="E182" s="19"/>
      <c r="F182" s="19"/>
    </row>
    <row r="183" ht="15.75" customHeight="1">
      <c r="A183" s="19"/>
      <c r="B183" s="19"/>
      <c r="C183" s="19"/>
      <c r="D183" s="19"/>
      <c r="E183" s="19"/>
      <c r="F183" s="19"/>
    </row>
    <row r="184" ht="15.75" customHeight="1">
      <c r="A184" s="19"/>
      <c r="B184" s="19"/>
      <c r="C184" s="19"/>
      <c r="D184" s="19"/>
      <c r="E184" s="19"/>
      <c r="F184" s="19"/>
    </row>
    <row r="185" ht="15.75" customHeight="1">
      <c r="A185" s="19"/>
      <c r="B185" s="19"/>
      <c r="C185" s="19"/>
      <c r="D185" s="19"/>
      <c r="E185" s="19"/>
      <c r="F185" s="19"/>
    </row>
    <row r="186" ht="15.75" customHeight="1">
      <c r="A186" s="19"/>
      <c r="B186" s="19"/>
      <c r="C186" s="19"/>
      <c r="D186" s="19"/>
      <c r="E186" s="19"/>
      <c r="F186" s="19"/>
    </row>
    <row r="187" ht="15.75" customHeight="1">
      <c r="A187" s="19"/>
      <c r="B187" s="19"/>
      <c r="C187" s="19"/>
      <c r="D187" s="19"/>
      <c r="E187" s="19"/>
      <c r="F187" s="19"/>
    </row>
    <row r="188" ht="15.75" customHeight="1">
      <c r="A188" s="19"/>
      <c r="B188" s="19"/>
      <c r="C188" s="19"/>
      <c r="D188" s="19"/>
      <c r="E188" s="19"/>
      <c r="F188" s="19"/>
    </row>
    <row r="189" ht="15.75" customHeight="1">
      <c r="A189" s="19"/>
      <c r="B189" s="19"/>
      <c r="C189" s="19"/>
      <c r="D189" s="19"/>
      <c r="E189" s="19"/>
      <c r="F189" s="19"/>
    </row>
    <row r="190" ht="15.75" customHeight="1">
      <c r="A190" s="19"/>
      <c r="B190" s="19"/>
      <c r="C190" s="19"/>
      <c r="D190" s="19"/>
      <c r="E190" s="19"/>
      <c r="F190" s="19"/>
    </row>
    <row r="191" ht="15.75" customHeight="1">
      <c r="A191" s="19"/>
      <c r="B191" s="19"/>
      <c r="C191" s="19"/>
      <c r="D191" s="19"/>
      <c r="E191" s="19"/>
      <c r="F191" s="19"/>
    </row>
    <row r="192" ht="15.75" customHeight="1">
      <c r="A192" s="19"/>
      <c r="B192" s="19"/>
      <c r="C192" s="19"/>
      <c r="D192" s="19"/>
      <c r="E192" s="19"/>
      <c r="F192" s="19"/>
    </row>
    <row r="193" ht="15.75" customHeight="1">
      <c r="A193" s="19"/>
      <c r="B193" s="19"/>
      <c r="C193" s="19"/>
      <c r="D193" s="19"/>
      <c r="E193" s="19"/>
      <c r="F193" s="19"/>
    </row>
    <row r="194" ht="15.75" customHeight="1">
      <c r="A194" s="19"/>
      <c r="B194" s="19"/>
      <c r="C194" s="19"/>
      <c r="D194" s="19"/>
      <c r="E194" s="19"/>
      <c r="F194" s="19"/>
    </row>
    <row r="195" ht="15.75" customHeight="1">
      <c r="A195" s="19"/>
      <c r="B195" s="19"/>
      <c r="C195" s="19"/>
      <c r="D195" s="19"/>
      <c r="E195" s="19"/>
      <c r="F195" s="19"/>
    </row>
    <row r="196" ht="15.75" customHeight="1">
      <c r="A196" s="19"/>
      <c r="B196" s="19"/>
      <c r="C196" s="19"/>
      <c r="D196" s="19"/>
      <c r="E196" s="19"/>
      <c r="F196" s="19"/>
    </row>
    <row r="197" ht="15.75" customHeight="1">
      <c r="A197" s="19"/>
      <c r="B197" s="19"/>
      <c r="C197" s="19"/>
      <c r="D197" s="19"/>
      <c r="E197" s="19"/>
      <c r="F197" s="19"/>
    </row>
    <row r="198" ht="15.75" customHeight="1">
      <c r="A198" s="19"/>
      <c r="B198" s="19"/>
      <c r="C198" s="19"/>
      <c r="D198" s="19"/>
      <c r="E198" s="19"/>
      <c r="F198" s="19"/>
    </row>
    <row r="199" ht="15.75" customHeight="1">
      <c r="A199" s="19"/>
      <c r="B199" s="19"/>
      <c r="C199" s="19"/>
      <c r="D199" s="19"/>
      <c r="E199" s="19"/>
      <c r="F199" s="19"/>
    </row>
    <row r="200" ht="15.75" customHeight="1">
      <c r="A200" s="19"/>
      <c r="B200" s="19"/>
      <c r="C200" s="19"/>
      <c r="D200" s="19"/>
      <c r="E200" s="19"/>
      <c r="F200" s="19"/>
    </row>
    <row r="201" ht="15.75" customHeight="1">
      <c r="A201" s="19"/>
      <c r="B201" s="19"/>
      <c r="C201" s="19"/>
      <c r="D201" s="19"/>
      <c r="E201" s="19"/>
      <c r="F201" s="19"/>
    </row>
    <row r="202" ht="15.75" customHeight="1">
      <c r="A202" s="19"/>
      <c r="B202" s="19"/>
      <c r="C202" s="19"/>
      <c r="D202" s="19"/>
      <c r="E202" s="19"/>
      <c r="F202" s="19"/>
    </row>
    <row r="203" ht="15.75" customHeight="1">
      <c r="A203" s="19"/>
      <c r="B203" s="19"/>
      <c r="C203" s="19"/>
      <c r="D203" s="19"/>
      <c r="E203" s="19"/>
      <c r="F203" s="19"/>
    </row>
    <row r="204" ht="15.75" customHeight="1">
      <c r="A204" s="19"/>
      <c r="B204" s="19"/>
      <c r="C204" s="19"/>
      <c r="D204" s="19"/>
      <c r="E204" s="19"/>
      <c r="F204" s="19"/>
    </row>
    <row r="205" ht="15.75" customHeight="1">
      <c r="A205" s="19"/>
      <c r="B205" s="19"/>
      <c r="C205" s="19"/>
      <c r="D205" s="19"/>
      <c r="E205" s="19"/>
      <c r="F205" s="19"/>
    </row>
    <row r="206" ht="15.75" customHeight="1">
      <c r="A206" s="19"/>
      <c r="B206" s="19"/>
      <c r="C206" s="19"/>
      <c r="D206" s="19"/>
      <c r="E206" s="19"/>
      <c r="F206" s="19"/>
    </row>
    <row r="207" ht="15.75" customHeight="1">
      <c r="A207" s="19"/>
      <c r="B207" s="19"/>
      <c r="C207" s="19"/>
      <c r="D207" s="19"/>
      <c r="E207" s="19"/>
      <c r="F207" s="19"/>
    </row>
    <row r="208" ht="15.75" customHeight="1">
      <c r="A208" s="19"/>
      <c r="B208" s="19"/>
      <c r="C208" s="19"/>
      <c r="D208" s="19"/>
      <c r="E208" s="19"/>
      <c r="F208" s="19"/>
    </row>
    <row r="209" ht="15.75" customHeight="1">
      <c r="A209" s="19"/>
      <c r="B209" s="19"/>
      <c r="C209" s="19"/>
      <c r="D209" s="19"/>
      <c r="E209" s="19"/>
      <c r="F209" s="19"/>
    </row>
    <row r="210" ht="15.75" customHeight="1">
      <c r="A210" s="19"/>
      <c r="B210" s="19"/>
      <c r="C210" s="19"/>
      <c r="D210" s="19"/>
      <c r="E210" s="19"/>
      <c r="F210" s="19"/>
    </row>
    <row r="211" ht="15.75" customHeight="1">
      <c r="A211" s="19"/>
      <c r="B211" s="19"/>
      <c r="C211" s="19"/>
      <c r="D211" s="19"/>
      <c r="E211" s="19"/>
      <c r="F211" s="19"/>
    </row>
    <row r="212" ht="15.75" customHeight="1">
      <c r="A212" s="19"/>
      <c r="B212" s="19"/>
      <c r="C212" s="19"/>
      <c r="D212" s="19"/>
      <c r="E212" s="19"/>
      <c r="F212" s="19"/>
    </row>
    <row r="213" ht="15.75" customHeight="1">
      <c r="A213" s="19"/>
      <c r="B213" s="19"/>
      <c r="C213" s="19"/>
      <c r="D213" s="19"/>
      <c r="E213" s="19"/>
      <c r="F213" s="19"/>
    </row>
    <row r="214" ht="15.75" customHeight="1">
      <c r="A214" s="19"/>
      <c r="B214" s="19"/>
      <c r="C214" s="19"/>
      <c r="D214" s="19"/>
      <c r="E214" s="19"/>
      <c r="F214" s="19"/>
    </row>
    <row r="215" ht="15.75" customHeight="1">
      <c r="A215" s="19"/>
      <c r="B215" s="19"/>
      <c r="C215" s="19"/>
      <c r="D215" s="19"/>
      <c r="E215" s="19"/>
      <c r="F215" s="19"/>
    </row>
    <row r="216" ht="15.75" customHeight="1">
      <c r="A216" s="19"/>
      <c r="B216" s="19"/>
      <c r="C216" s="19"/>
      <c r="D216" s="19"/>
      <c r="E216" s="19"/>
      <c r="F216" s="19"/>
    </row>
    <row r="217" ht="15.75" customHeight="1">
      <c r="A217" s="19"/>
      <c r="B217" s="19"/>
      <c r="C217" s="19"/>
      <c r="D217" s="19"/>
      <c r="E217" s="19"/>
      <c r="F217" s="19"/>
    </row>
    <row r="218" ht="15.75" customHeight="1">
      <c r="A218" s="19"/>
      <c r="B218" s="19"/>
      <c r="C218" s="19"/>
      <c r="D218" s="19"/>
      <c r="E218" s="19"/>
      <c r="F218" s="19"/>
    </row>
    <row r="219" ht="15.75" customHeight="1">
      <c r="A219" s="19"/>
      <c r="B219" s="19"/>
      <c r="C219" s="19"/>
      <c r="D219" s="19"/>
      <c r="E219" s="19"/>
      <c r="F219" s="19"/>
    </row>
    <row r="220" ht="15.75" customHeight="1">
      <c r="A220" s="19"/>
      <c r="B220" s="19"/>
      <c r="C220" s="19"/>
      <c r="D220" s="19"/>
      <c r="E220" s="19"/>
      <c r="F220" s="19"/>
    </row>
    <row r="221" ht="15.75" customHeight="1">
      <c r="A221" s="19"/>
      <c r="B221" s="19"/>
      <c r="C221" s="19"/>
      <c r="D221" s="19"/>
      <c r="E221" s="19"/>
      <c r="F221" s="19"/>
    </row>
    <row r="222" ht="15.75" customHeight="1">
      <c r="A222" s="19"/>
      <c r="B222" s="19"/>
      <c r="C222" s="19"/>
      <c r="D222" s="19"/>
      <c r="E222" s="19"/>
      <c r="F222" s="19"/>
    </row>
    <row r="223" ht="15.75" customHeight="1">
      <c r="A223" s="19"/>
      <c r="B223" s="19"/>
      <c r="C223" s="19"/>
      <c r="D223" s="19"/>
      <c r="E223" s="19"/>
      <c r="F223" s="19"/>
    </row>
    <row r="224" ht="15.75" customHeight="1">
      <c r="A224" s="19"/>
      <c r="B224" s="19"/>
      <c r="C224" s="19"/>
      <c r="D224" s="19"/>
      <c r="E224" s="19"/>
      <c r="F224" s="19"/>
    </row>
    <row r="225" ht="15.75" customHeight="1">
      <c r="A225" s="19"/>
      <c r="B225" s="19"/>
      <c r="C225" s="19"/>
      <c r="D225" s="19"/>
      <c r="E225" s="19"/>
      <c r="F225" s="19"/>
    </row>
    <row r="226" ht="15.75" customHeight="1">
      <c r="A226" s="19"/>
      <c r="B226" s="19"/>
      <c r="C226" s="19"/>
      <c r="D226" s="19"/>
      <c r="E226" s="19"/>
      <c r="F226" s="19"/>
    </row>
    <row r="227" ht="15.75" customHeight="1">
      <c r="A227" s="19"/>
      <c r="B227" s="19"/>
      <c r="C227" s="19"/>
      <c r="D227" s="19"/>
      <c r="E227" s="19"/>
      <c r="F227" s="19"/>
    </row>
    <row r="228" ht="15.75" customHeight="1">
      <c r="A228" s="19"/>
      <c r="B228" s="19"/>
      <c r="C228" s="19"/>
      <c r="D228" s="19"/>
      <c r="E228" s="19"/>
      <c r="F228" s="19"/>
    </row>
    <row r="229" ht="15.75" customHeight="1">
      <c r="A229" s="19"/>
      <c r="B229" s="19"/>
      <c r="C229" s="19"/>
      <c r="D229" s="19"/>
      <c r="E229" s="19"/>
      <c r="F229" s="19"/>
    </row>
    <row r="230" ht="15.75" customHeight="1">
      <c r="A230" s="19"/>
      <c r="B230" s="19"/>
      <c r="C230" s="19"/>
      <c r="D230" s="19"/>
      <c r="E230" s="19"/>
      <c r="F230" s="19"/>
    </row>
    <row r="231" ht="15.75" customHeight="1">
      <c r="A231" s="19"/>
      <c r="B231" s="19"/>
      <c r="C231" s="19"/>
      <c r="D231" s="19"/>
      <c r="E231" s="19"/>
      <c r="F231" s="19"/>
    </row>
    <row r="232" ht="15.75" customHeight="1">
      <c r="A232" s="19"/>
      <c r="B232" s="19"/>
      <c r="C232" s="19"/>
      <c r="D232" s="19"/>
      <c r="E232" s="19"/>
      <c r="F232" s="19"/>
    </row>
    <row r="233" ht="15.75" customHeight="1">
      <c r="A233" s="19"/>
      <c r="B233" s="19"/>
      <c r="C233" s="19"/>
      <c r="D233" s="19"/>
      <c r="E233" s="19"/>
      <c r="F233" s="19"/>
    </row>
    <row r="234" ht="15.75" customHeight="1">
      <c r="A234" s="19"/>
      <c r="B234" s="19"/>
      <c r="C234" s="19"/>
      <c r="D234" s="19"/>
      <c r="E234" s="19"/>
      <c r="F234" s="19"/>
    </row>
    <row r="235" ht="15.75" customHeight="1">
      <c r="A235" s="19"/>
      <c r="B235" s="19"/>
      <c r="C235" s="19"/>
      <c r="D235" s="19"/>
      <c r="E235" s="19"/>
      <c r="F235" s="19"/>
    </row>
    <row r="236" ht="15.75" customHeight="1">
      <c r="A236" s="19"/>
      <c r="B236" s="19"/>
      <c r="C236" s="19"/>
      <c r="D236" s="19"/>
      <c r="E236" s="19"/>
      <c r="F236" s="19"/>
    </row>
    <row r="237" ht="15.75" customHeight="1">
      <c r="A237" s="19"/>
      <c r="B237" s="19"/>
      <c r="C237" s="19"/>
      <c r="D237" s="19"/>
      <c r="E237" s="19"/>
      <c r="F237" s="19"/>
    </row>
    <row r="238" ht="15.75" customHeight="1">
      <c r="A238" s="19"/>
      <c r="B238" s="19"/>
      <c r="C238" s="19"/>
      <c r="D238" s="19"/>
      <c r="E238" s="19"/>
      <c r="F238" s="19"/>
    </row>
    <row r="239" ht="15.75" customHeight="1">
      <c r="A239" s="19"/>
      <c r="B239" s="19"/>
      <c r="C239" s="19"/>
      <c r="D239" s="19"/>
      <c r="E239" s="19"/>
      <c r="F239" s="19"/>
    </row>
    <row r="240" ht="15.75" customHeight="1">
      <c r="A240" s="19"/>
      <c r="B240" s="19"/>
      <c r="C240" s="19"/>
      <c r="D240" s="19"/>
      <c r="E240" s="19"/>
      <c r="F240" s="19"/>
    </row>
    <row r="241" ht="15.75" customHeight="1">
      <c r="A241" s="19"/>
      <c r="B241" s="19"/>
      <c r="C241" s="19"/>
      <c r="D241" s="19"/>
      <c r="E241" s="19"/>
      <c r="F241" s="19"/>
    </row>
    <row r="242" ht="15.75" customHeight="1">
      <c r="A242" s="19"/>
      <c r="B242" s="19"/>
      <c r="C242" s="19"/>
      <c r="D242" s="19"/>
      <c r="E242" s="19"/>
      <c r="F242" s="19"/>
    </row>
    <row r="243" ht="15.75" customHeight="1">
      <c r="A243" s="19"/>
      <c r="B243" s="19"/>
      <c r="C243" s="19"/>
      <c r="D243" s="19"/>
      <c r="E243" s="19"/>
      <c r="F243" s="19"/>
    </row>
    <row r="244" ht="15.75" customHeight="1">
      <c r="A244" s="19"/>
      <c r="B244" s="19"/>
      <c r="C244" s="19"/>
      <c r="D244" s="19"/>
      <c r="E244" s="19"/>
      <c r="F244" s="19"/>
    </row>
    <row r="245" ht="15.75" customHeight="1">
      <c r="A245" s="19"/>
      <c r="B245" s="19"/>
      <c r="C245" s="19"/>
      <c r="D245" s="19"/>
      <c r="E245" s="19"/>
      <c r="F245" s="19"/>
    </row>
    <row r="246" ht="15.75" customHeight="1">
      <c r="A246" s="19"/>
      <c r="B246" s="19"/>
      <c r="C246" s="19"/>
      <c r="D246" s="19"/>
      <c r="E246" s="19"/>
      <c r="F246" s="19"/>
    </row>
    <row r="247" ht="15.75" customHeight="1">
      <c r="A247" s="19"/>
      <c r="B247" s="19"/>
      <c r="C247" s="19"/>
      <c r="D247" s="19"/>
      <c r="E247" s="19"/>
      <c r="F247" s="19"/>
    </row>
    <row r="248" ht="15.75" customHeight="1">
      <c r="A248" s="19"/>
      <c r="B248" s="19"/>
      <c r="C248" s="19"/>
      <c r="D248" s="19"/>
      <c r="E248" s="19"/>
      <c r="F248" s="19"/>
    </row>
    <row r="249" ht="15.75" customHeight="1">
      <c r="A249" s="19"/>
      <c r="B249" s="19"/>
      <c r="C249" s="19"/>
      <c r="D249" s="19"/>
      <c r="E249" s="19"/>
      <c r="F249" s="19"/>
    </row>
    <row r="250" ht="15.75" customHeight="1">
      <c r="A250" s="19"/>
      <c r="B250" s="19"/>
      <c r="C250" s="19"/>
      <c r="D250" s="19"/>
      <c r="E250" s="19"/>
      <c r="F250" s="19"/>
    </row>
    <row r="251" ht="15.75" customHeight="1">
      <c r="A251" s="19"/>
      <c r="B251" s="19"/>
      <c r="C251" s="19"/>
      <c r="D251" s="19"/>
      <c r="E251" s="19"/>
      <c r="F251" s="19"/>
    </row>
    <row r="252" ht="15.75" customHeight="1">
      <c r="A252" s="19"/>
      <c r="B252" s="19"/>
      <c r="C252" s="19"/>
      <c r="D252" s="19"/>
      <c r="E252" s="19"/>
      <c r="F252" s="19"/>
    </row>
    <row r="253" ht="15.75" customHeight="1">
      <c r="A253" s="19"/>
      <c r="B253" s="19"/>
      <c r="C253" s="19"/>
      <c r="D253" s="19"/>
      <c r="E253" s="19"/>
      <c r="F253" s="19"/>
    </row>
    <row r="254" ht="15.75" customHeight="1">
      <c r="A254" s="19"/>
      <c r="B254" s="19"/>
      <c r="C254" s="19"/>
      <c r="D254" s="19"/>
      <c r="E254" s="19"/>
      <c r="F254" s="19"/>
    </row>
    <row r="255" ht="15.75" customHeight="1">
      <c r="A255" s="19"/>
      <c r="B255" s="19"/>
      <c r="C255" s="19"/>
      <c r="D255" s="19"/>
      <c r="E255" s="19"/>
      <c r="F255" s="19"/>
    </row>
    <row r="256" ht="15.75" customHeight="1">
      <c r="A256" s="19"/>
      <c r="B256" s="19"/>
      <c r="C256" s="19"/>
      <c r="D256" s="19"/>
      <c r="E256" s="19"/>
      <c r="F256" s="19"/>
    </row>
    <row r="257" ht="15.75" customHeight="1">
      <c r="A257" s="19"/>
      <c r="B257" s="19"/>
      <c r="C257" s="19"/>
      <c r="D257" s="19"/>
      <c r="E257" s="19"/>
      <c r="F257" s="19"/>
    </row>
    <row r="258" ht="15.75" customHeight="1">
      <c r="A258" s="19"/>
      <c r="B258" s="19"/>
      <c r="C258" s="19"/>
      <c r="D258" s="19"/>
      <c r="E258" s="19"/>
      <c r="F258" s="19"/>
    </row>
    <row r="259" ht="15.75" customHeight="1">
      <c r="A259" s="19"/>
      <c r="B259" s="19"/>
      <c r="C259" s="19"/>
      <c r="D259" s="19"/>
      <c r="E259" s="19"/>
      <c r="F259" s="19"/>
    </row>
    <row r="260" ht="15.75" customHeight="1">
      <c r="A260" s="19"/>
      <c r="B260" s="19"/>
      <c r="C260" s="19"/>
      <c r="D260" s="19"/>
      <c r="E260" s="19"/>
      <c r="F260" s="19"/>
    </row>
    <row r="261" ht="15.75" customHeight="1">
      <c r="A261" s="19"/>
      <c r="B261" s="19"/>
      <c r="C261" s="19"/>
      <c r="D261" s="19"/>
      <c r="E261" s="19"/>
      <c r="F261" s="19"/>
    </row>
    <row r="262" ht="15.75" customHeight="1">
      <c r="A262" s="19"/>
      <c r="B262" s="19"/>
      <c r="C262" s="19"/>
      <c r="D262" s="19"/>
      <c r="E262" s="19"/>
      <c r="F262" s="19"/>
    </row>
    <row r="263" ht="15.75" customHeight="1">
      <c r="A263" s="19"/>
      <c r="B263" s="19"/>
      <c r="C263" s="19"/>
      <c r="D263" s="19"/>
      <c r="E263" s="19"/>
      <c r="F263" s="19"/>
    </row>
    <row r="264" ht="15.75" customHeight="1">
      <c r="A264" s="19"/>
      <c r="B264" s="19"/>
      <c r="C264" s="19"/>
      <c r="D264" s="19"/>
      <c r="E264" s="19"/>
      <c r="F264" s="19"/>
    </row>
    <row r="265" ht="15.75" customHeight="1">
      <c r="A265" s="19"/>
      <c r="B265" s="19"/>
      <c r="C265" s="19"/>
      <c r="D265" s="19"/>
      <c r="E265" s="19"/>
      <c r="F265" s="19"/>
    </row>
    <row r="266" ht="15.75" customHeight="1">
      <c r="A266" s="19"/>
      <c r="B266" s="19"/>
      <c r="C266" s="19"/>
      <c r="D266" s="19"/>
      <c r="E266" s="19"/>
      <c r="F266" s="19"/>
    </row>
    <row r="267" ht="15.75" customHeight="1">
      <c r="A267" s="19"/>
      <c r="B267" s="19"/>
      <c r="C267" s="19"/>
      <c r="D267" s="19"/>
      <c r="E267" s="19"/>
      <c r="F267" s="19"/>
    </row>
    <row r="268" ht="15.75" customHeight="1">
      <c r="A268" s="19"/>
      <c r="B268" s="19"/>
      <c r="C268" s="19"/>
      <c r="D268" s="19"/>
      <c r="E268" s="19"/>
      <c r="F268" s="19"/>
    </row>
    <row r="269" ht="15.75" customHeight="1">
      <c r="A269" s="19"/>
      <c r="B269" s="19"/>
      <c r="C269" s="19"/>
      <c r="D269" s="19"/>
      <c r="E269" s="19"/>
      <c r="F269" s="19"/>
    </row>
    <row r="270" ht="15.75" customHeight="1">
      <c r="A270" s="19"/>
      <c r="B270" s="19"/>
      <c r="C270" s="19"/>
      <c r="D270" s="19"/>
      <c r="E270" s="19"/>
      <c r="F270" s="19"/>
    </row>
    <row r="271" ht="15.75" customHeight="1">
      <c r="A271" s="19"/>
      <c r="B271" s="19"/>
      <c r="C271" s="19"/>
      <c r="D271" s="19"/>
      <c r="E271" s="19"/>
      <c r="F271" s="19"/>
    </row>
    <row r="272" ht="15.75" customHeight="1">
      <c r="A272" s="19"/>
      <c r="B272" s="19"/>
      <c r="C272" s="19"/>
      <c r="D272" s="19"/>
      <c r="E272" s="19"/>
      <c r="F272" s="19"/>
    </row>
    <row r="273" ht="15.75" customHeight="1">
      <c r="A273" s="19"/>
      <c r="B273" s="19"/>
      <c r="C273" s="19"/>
      <c r="D273" s="19"/>
      <c r="E273" s="19"/>
      <c r="F273" s="19"/>
    </row>
    <row r="274" ht="15.75" customHeight="1">
      <c r="A274" s="19"/>
      <c r="B274" s="19"/>
      <c r="C274" s="19"/>
      <c r="D274" s="19"/>
      <c r="E274" s="19"/>
      <c r="F274" s="19"/>
    </row>
    <row r="275" ht="15.75" customHeight="1">
      <c r="A275" s="19"/>
      <c r="B275" s="19"/>
      <c r="C275" s="19"/>
      <c r="D275" s="19"/>
      <c r="E275" s="19"/>
      <c r="F275" s="19"/>
    </row>
    <row r="276" ht="15.75" customHeight="1">
      <c r="A276" s="19"/>
      <c r="B276" s="19"/>
      <c r="C276" s="19"/>
      <c r="D276" s="19"/>
      <c r="E276" s="19"/>
      <c r="F276" s="19"/>
    </row>
    <row r="277" ht="15.75" customHeight="1">
      <c r="A277" s="19"/>
      <c r="B277" s="19"/>
      <c r="C277" s="19"/>
      <c r="D277" s="19"/>
      <c r="E277" s="19"/>
      <c r="F277" s="19"/>
    </row>
    <row r="278" ht="15.75" customHeight="1">
      <c r="A278" s="19"/>
      <c r="B278" s="19"/>
      <c r="C278" s="19"/>
      <c r="D278" s="19"/>
      <c r="E278" s="19"/>
      <c r="F278" s="19"/>
    </row>
    <row r="279" ht="15.75" customHeight="1">
      <c r="A279" s="19"/>
      <c r="B279" s="19"/>
      <c r="C279" s="19"/>
      <c r="D279" s="19"/>
      <c r="E279" s="19"/>
      <c r="F279" s="19"/>
    </row>
    <row r="280" ht="15.75" customHeight="1">
      <c r="A280" s="19"/>
      <c r="B280" s="19"/>
      <c r="C280" s="19"/>
      <c r="D280" s="19"/>
      <c r="E280" s="19"/>
      <c r="F280" s="19"/>
    </row>
    <row r="281" ht="15.75" customHeight="1">
      <c r="A281" s="19"/>
      <c r="B281" s="19"/>
      <c r="C281" s="19"/>
      <c r="D281" s="19"/>
      <c r="E281" s="19"/>
      <c r="F281" s="19"/>
    </row>
    <row r="282" ht="15.75" customHeight="1">
      <c r="A282" s="19"/>
      <c r="B282" s="19"/>
      <c r="C282" s="19"/>
      <c r="D282" s="19"/>
      <c r="E282" s="19"/>
      <c r="F282" s="19"/>
    </row>
    <row r="283" ht="15.75" customHeight="1">
      <c r="A283" s="19"/>
      <c r="B283" s="19"/>
      <c r="C283" s="19"/>
      <c r="D283" s="19"/>
      <c r="E283" s="19"/>
      <c r="F283" s="19"/>
    </row>
    <row r="284" ht="15.75" customHeight="1">
      <c r="A284" s="19"/>
      <c r="B284" s="19"/>
      <c r="C284" s="19"/>
      <c r="D284" s="19"/>
      <c r="E284" s="19"/>
      <c r="F284" s="19"/>
    </row>
    <row r="285" ht="15.75" customHeight="1">
      <c r="A285" s="19"/>
      <c r="B285" s="19"/>
      <c r="C285" s="19"/>
      <c r="D285" s="19"/>
      <c r="E285" s="19"/>
      <c r="F285" s="19"/>
    </row>
    <row r="286" ht="15.75" customHeight="1">
      <c r="A286" s="19"/>
      <c r="B286" s="19"/>
      <c r="C286" s="19"/>
      <c r="D286" s="19"/>
      <c r="E286" s="19"/>
      <c r="F286" s="19"/>
    </row>
    <row r="287" ht="15.75" customHeight="1">
      <c r="A287" s="19"/>
      <c r="B287" s="19"/>
      <c r="C287" s="19"/>
      <c r="D287" s="19"/>
      <c r="E287" s="19"/>
      <c r="F287" s="19"/>
    </row>
    <row r="288" ht="15.75" customHeight="1">
      <c r="A288" s="19"/>
      <c r="B288" s="19"/>
      <c r="C288" s="19"/>
      <c r="D288" s="19"/>
      <c r="E288" s="19"/>
      <c r="F288" s="19"/>
    </row>
    <row r="289" ht="15.75" customHeight="1">
      <c r="A289" s="19"/>
      <c r="B289" s="19"/>
      <c r="C289" s="19"/>
      <c r="D289" s="19"/>
      <c r="E289" s="19"/>
      <c r="F289" s="19"/>
    </row>
    <row r="290" ht="15.75" customHeight="1">
      <c r="A290" s="19"/>
      <c r="B290" s="19"/>
      <c r="C290" s="19"/>
      <c r="D290" s="19"/>
      <c r="E290" s="19"/>
      <c r="F290" s="19"/>
    </row>
    <row r="291" ht="15.75" customHeight="1">
      <c r="A291" s="19"/>
      <c r="B291" s="19"/>
      <c r="C291" s="19"/>
      <c r="D291" s="19"/>
      <c r="E291" s="19"/>
      <c r="F291" s="19"/>
    </row>
    <row r="292" ht="15.75" customHeight="1">
      <c r="A292" s="19"/>
      <c r="B292" s="19"/>
      <c r="C292" s="19"/>
      <c r="D292" s="19"/>
      <c r="E292" s="19"/>
      <c r="F292" s="19"/>
    </row>
    <row r="293" ht="15.75" customHeight="1">
      <c r="A293" s="19"/>
      <c r="B293" s="19"/>
      <c r="C293" s="19"/>
      <c r="D293" s="19"/>
      <c r="E293" s="19"/>
      <c r="F293" s="19"/>
    </row>
    <row r="294" ht="15.75" customHeight="1">
      <c r="A294" s="19"/>
      <c r="B294" s="19"/>
      <c r="C294" s="19"/>
      <c r="D294" s="19"/>
      <c r="E294" s="19"/>
      <c r="F294" s="19"/>
    </row>
    <row r="295" ht="15.75" customHeight="1">
      <c r="A295" s="19"/>
      <c r="B295" s="19"/>
      <c r="C295" s="19"/>
      <c r="D295" s="19"/>
      <c r="E295" s="19"/>
      <c r="F295" s="19"/>
    </row>
    <row r="296" ht="15.75" customHeight="1">
      <c r="A296" s="19"/>
      <c r="B296" s="19"/>
      <c r="C296" s="19"/>
      <c r="D296" s="19"/>
      <c r="E296" s="19"/>
      <c r="F296" s="19"/>
    </row>
    <row r="297" ht="15.75" customHeight="1">
      <c r="A297" s="19"/>
      <c r="B297" s="19"/>
      <c r="C297" s="19"/>
      <c r="D297" s="19"/>
      <c r="E297" s="19"/>
      <c r="F297" s="19"/>
    </row>
    <row r="298" ht="15.75" customHeight="1">
      <c r="A298" s="19"/>
      <c r="B298" s="19"/>
      <c r="C298" s="19"/>
      <c r="D298" s="19"/>
      <c r="E298" s="19"/>
      <c r="F298" s="19"/>
    </row>
    <row r="299" ht="15.75" customHeight="1">
      <c r="A299" s="19"/>
      <c r="B299" s="19"/>
      <c r="C299" s="19"/>
      <c r="D299" s="19"/>
      <c r="E299" s="19"/>
      <c r="F299" s="19"/>
    </row>
    <row r="300" ht="15.75" customHeight="1">
      <c r="A300" s="19"/>
      <c r="B300" s="19"/>
      <c r="C300" s="19"/>
      <c r="D300" s="19"/>
      <c r="E300" s="19"/>
      <c r="F300" s="19"/>
    </row>
    <row r="301" ht="15.75" customHeight="1">
      <c r="A301" s="19"/>
      <c r="B301" s="19"/>
      <c r="C301" s="19"/>
      <c r="D301" s="19"/>
      <c r="E301" s="19"/>
      <c r="F301" s="19"/>
    </row>
    <row r="302" ht="15.75" customHeight="1">
      <c r="A302" s="19"/>
      <c r="B302" s="19"/>
      <c r="C302" s="19"/>
      <c r="D302" s="19"/>
      <c r="E302" s="19"/>
      <c r="F302" s="19"/>
    </row>
    <row r="303" ht="15.75" customHeight="1">
      <c r="A303" s="19"/>
      <c r="B303" s="19"/>
      <c r="C303" s="19"/>
      <c r="D303" s="19"/>
      <c r="E303" s="19"/>
      <c r="F303" s="19"/>
    </row>
    <row r="304" ht="15.75" customHeight="1">
      <c r="A304" s="19"/>
      <c r="B304" s="19"/>
      <c r="C304" s="19"/>
      <c r="D304" s="19"/>
      <c r="E304" s="19"/>
      <c r="F304" s="19"/>
    </row>
    <row r="305" ht="15.75" customHeight="1">
      <c r="A305" s="19"/>
      <c r="B305" s="19"/>
      <c r="C305" s="19"/>
      <c r="D305" s="19"/>
      <c r="E305" s="19"/>
      <c r="F305" s="19"/>
    </row>
    <row r="306" ht="15.75" customHeight="1">
      <c r="A306" s="19"/>
      <c r="B306" s="19"/>
      <c r="C306" s="19"/>
      <c r="D306" s="19"/>
      <c r="E306" s="19"/>
      <c r="F306" s="19"/>
    </row>
    <row r="307" ht="15.75" customHeight="1">
      <c r="A307" s="19"/>
      <c r="B307" s="19"/>
      <c r="C307" s="19"/>
      <c r="D307" s="19"/>
      <c r="E307" s="19"/>
      <c r="F307" s="19"/>
    </row>
    <row r="308" ht="15.75" customHeight="1">
      <c r="A308" s="19"/>
      <c r="B308" s="19"/>
      <c r="C308" s="19"/>
      <c r="D308" s="19"/>
      <c r="E308" s="19"/>
      <c r="F308" s="19"/>
    </row>
    <row r="309" ht="15.75" customHeight="1">
      <c r="A309" s="19"/>
      <c r="B309" s="19"/>
      <c r="C309" s="19"/>
      <c r="D309" s="19"/>
      <c r="E309" s="19"/>
      <c r="F309" s="19"/>
    </row>
    <row r="310" ht="15.75" customHeight="1">
      <c r="A310" s="19"/>
      <c r="B310" s="19"/>
      <c r="C310" s="19"/>
      <c r="D310" s="19"/>
      <c r="E310" s="19"/>
      <c r="F310" s="19"/>
    </row>
    <row r="311" ht="15.75" customHeight="1">
      <c r="A311" s="19"/>
      <c r="B311" s="19"/>
      <c r="C311" s="19"/>
      <c r="D311" s="19"/>
      <c r="E311" s="19"/>
      <c r="F311" s="19"/>
    </row>
    <row r="312" ht="15.75" customHeight="1">
      <c r="A312" s="19"/>
      <c r="B312" s="19"/>
      <c r="C312" s="19"/>
      <c r="D312" s="19"/>
      <c r="E312" s="19"/>
      <c r="F312" s="19"/>
    </row>
    <row r="313" ht="15.75" customHeight="1">
      <c r="A313" s="19"/>
      <c r="B313" s="19"/>
      <c r="C313" s="19"/>
      <c r="D313" s="19"/>
      <c r="E313" s="19"/>
      <c r="F313" s="19"/>
    </row>
    <row r="314" ht="15.75" customHeight="1">
      <c r="A314" s="19"/>
      <c r="B314" s="19"/>
      <c r="C314" s="19"/>
      <c r="D314" s="19"/>
      <c r="E314" s="19"/>
      <c r="F314" s="19"/>
    </row>
    <row r="315" ht="15.75" customHeight="1">
      <c r="A315" s="19"/>
      <c r="B315" s="19"/>
      <c r="C315" s="19"/>
      <c r="D315" s="19"/>
      <c r="E315" s="19"/>
      <c r="F315" s="19"/>
    </row>
    <row r="316" ht="15.75" customHeight="1">
      <c r="A316" s="19"/>
      <c r="B316" s="19"/>
      <c r="C316" s="19"/>
      <c r="D316" s="19"/>
      <c r="E316" s="19"/>
      <c r="F316" s="19"/>
    </row>
    <row r="317" ht="15.75" customHeight="1">
      <c r="A317" s="19"/>
      <c r="B317" s="19"/>
      <c r="C317" s="19"/>
      <c r="D317" s="19"/>
      <c r="E317" s="19"/>
      <c r="F317" s="19"/>
    </row>
    <row r="318" ht="15.75" customHeight="1">
      <c r="A318" s="19"/>
      <c r="B318" s="19"/>
      <c r="C318" s="19"/>
      <c r="D318" s="19"/>
      <c r="E318" s="19"/>
      <c r="F318" s="19"/>
    </row>
    <row r="319" ht="15.75" customHeight="1">
      <c r="A319" s="19"/>
      <c r="B319" s="19"/>
      <c r="C319" s="19"/>
      <c r="D319" s="19"/>
      <c r="E319" s="19"/>
      <c r="F319" s="19"/>
    </row>
    <row r="320" ht="15.75" customHeight="1">
      <c r="A320" s="19"/>
      <c r="B320" s="19"/>
      <c r="C320" s="19"/>
      <c r="D320" s="19"/>
      <c r="E320" s="19"/>
      <c r="F320" s="19"/>
    </row>
    <row r="321" ht="15.75" customHeight="1">
      <c r="A321" s="19"/>
      <c r="B321" s="19"/>
      <c r="C321" s="19"/>
      <c r="D321" s="19"/>
      <c r="E321" s="19"/>
      <c r="F321" s="19"/>
    </row>
    <row r="322" ht="15.75" customHeight="1">
      <c r="A322" s="19"/>
      <c r="B322" s="19"/>
      <c r="C322" s="19"/>
      <c r="D322" s="19"/>
      <c r="E322" s="19"/>
      <c r="F322" s="19"/>
    </row>
    <row r="323" ht="15.75" customHeight="1">
      <c r="A323" s="19"/>
      <c r="B323" s="19"/>
      <c r="C323" s="19"/>
      <c r="D323" s="19"/>
      <c r="E323" s="19"/>
      <c r="F323" s="19"/>
    </row>
    <row r="324" ht="15.75" customHeight="1">
      <c r="A324" s="19"/>
      <c r="B324" s="19"/>
      <c r="C324" s="19"/>
      <c r="D324" s="19"/>
      <c r="E324" s="19"/>
      <c r="F324" s="19"/>
    </row>
    <row r="325" ht="15.75" customHeight="1">
      <c r="A325" s="19"/>
      <c r="B325" s="19"/>
      <c r="C325" s="19"/>
      <c r="D325" s="19"/>
      <c r="E325" s="19"/>
      <c r="F325" s="19"/>
    </row>
    <row r="326" ht="15.75" customHeight="1">
      <c r="A326" s="19"/>
      <c r="B326" s="19"/>
      <c r="C326" s="19"/>
      <c r="D326" s="19"/>
      <c r="E326" s="19"/>
      <c r="F326" s="19"/>
    </row>
    <row r="327" ht="15.75" customHeight="1">
      <c r="A327" s="19"/>
      <c r="B327" s="19"/>
      <c r="C327" s="19"/>
      <c r="D327" s="19"/>
      <c r="E327" s="19"/>
      <c r="F327" s="19"/>
    </row>
    <row r="328" ht="15.75" customHeight="1">
      <c r="A328" s="19"/>
      <c r="B328" s="19"/>
      <c r="C328" s="19"/>
      <c r="D328" s="19"/>
      <c r="E328" s="19"/>
      <c r="F328" s="19"/>
    </row>
    <row r="329" ht="15.75" customHeight="1">
      <c r="A329" s="19"/>
      <c r="B329" s="19"/>
      <c r="C329" s="19"/>
      <c r="D329" s="19"/>
      <c r="E329" s="19"/>
      <c r="F329" s="19"/>
    </row>
    <row r="330" ht="15.75" customHeight="1">
      <c r="A330" s="19"/>
      <c r="B330" s="19"/>
      <c r="C330" s="19"/>
      <c r="D330" s="19"/>
      <c r="E330" s="19"/>
      <c r="F330" s="19"/>
    </row>
    <row r="331" ht="15.75" customHeight="1">
      <c r="A331" s="19"/>
      <c r="B331" s="19"/>
      <c r="C331" s="19"/>
      <c r="D331" s="19"/>
      <c r="E331" s="19"/>
      <c r="F331" s="19"/>
    </row>
    <row r="332" ht="15.75" customHeight="1">
      <c r="A332" s="19"/>
      <c r="B332" s="19"/>
      <c r="C332" s="19"/>
      <c r="D332" s="19"/>
      <c r="E332" s="19"/>
      <c r="F332" s="19"/>
    </row>
    <row r="333" ht="15.75" customHeight="1">
      <c r="A333" s="19"/>
      <c r="B333" s="19"/>
      <c r="C333" s="19"/>
      <c r="D333" s="19"/>
      <c r="E333" s="19"/>
      <c r="F333" s="19"/>
    </row>
    <row r="334" ht="15.75" customHeight="1">
      <c r="A334" s="19"/>
      <c r="B334" s="19"/>
      <c r="C334" s="19"/>
      <c r="D334" s="19"/>
      <c r="E334" s="19"/>
      <c r="F334" s="19"/>
    </row>
    <row r="335" ht="15.75" customHeight="1">
      <c r="A335" s="19"/>
      <c r="B335" s="19"/>
      <c r="C335" s="19"/>
      <c r="D335" s="19"/>
      <c r="E335" s="19"/>
      <c r="F335" s="19"/>
    </row>
    <row r="336" ht="15.75" customHeight="1">
      <c r="A336" s="19"/>
      <c r="B336" s="19"/>
      <c r="C336" s="19"/>
      <c r="D336" s="19"/>
      <c r="E336" s="19"/>
      <c r="F336" s="19"/>
    </row>
    <row r="337" ht="15.75" customHeight="1">
      <c r="A337" s="19"/>
      <c r="B337" s="19"/>
      <c r="C337" s="19"/>
      <c r="D337" s="19"/>
      <c r="E337" s="19"/>
      <c r="F337" s="19"/>
    </row>
    <row r="338" ht="15.75" customHeight="1">
      <c r="A338" s="19"/>
      <c r="B338" s="19"/>
      <c r="C338" s="19"/>
      <c r="D338" s="19"/>
      <c r="E338" s="19"/>
      <c r="F338" s="19"/>
    </row>
    <row r="339" ht="15.75" customHeight="1">
      <c r="A339" s="19"/>
      <c r="B339" s="19"/>
      <c r="C339" s="19"/>
      <c r="D339" s="19"/>
      <c r="E339" s="19"/>
      <c r="F339" s="19"/>
    </row>
    <row r="340" ht="15.75" customHeight="1">
      <c r="A340" s="19"/>
      <c r="B340" s="19"/>
      <c r="C340" s="19"/>
      <c r="D340" s="19"/>
      <c r="E340" s="19"/>
      <c r="F340" s="19"/>
    </row>
    <row r="341" ht="15.75" customHeight="1">
      <c r="A341" s="19"/>
      <c r="B341" s="19"/>
      <c r="C341" s="19"/>
      <c r="D341" s="19"/>
      <c r="E341" s="19"/>
      <c r="F341" s="19"/>
    </row>
    <row r="342" ht="15.75" customHeight="1">
      <c r="A342" s="19"/>
      <c r="B342" s="19"/>
      <c r="C342" s="19"/>
      <c r="D342" s="19"/>
      <c r="E342" s="19"/>
      <c r="F342" s="19"/>
    </row>
    <row r="343" ht="15.75" customHeight="1">
      <c r="A343" s="19"/>
      <c r="B343" s="19"/>
      <c r="C343" s="19"/>
      <c r="D343" s="19"/>
      <c r="E343" s="19"/>
      <c r="F343" s="19"/>
    </row>
    <row r="344" ht="15.75" customHeight="1">
      <c r="A344" s="19"/>
      <c r="B344" s="19"/>
      <c r="C344" s="19"/>
      <c r="D344" s="19"/>
      <c r="E344" s="19"/>
      <c r="F344" s="19"/>
    </row>
    <row r="345" ht="15.75" customHeight="1">
      <c r="A345" s="19"/>
      <c r="B345" s="19"/>
      <c r="C345" s="19"/>
      <c r="D345" s="19"/>
      <c r="E345" s="19"/>
      <c r="F345" s="19"/>
    </row>
    <row r="346" ht="15.75" customHeight="1">
      <c r="A346" s="19"/>
      <c r="B346" s="19"/>
      <c r="C346" s="19"/>
      <c r="D346" s="19"/>
      <c r="E346" s="19"/>
      <c r="F346" s="19"/>
    </row>
    <row r="347" ht="15.75" customHeight="1">
      <c r="A347" s="19"/>
      <c r="B347" s="19"/>
      <c r="C347" s="19"/>
      <c r="D347" s="19"/>
      <c r="E347" s="19"/>
      <c r="F347" s="19"/>
    </row>
    <row r="348" ht="15.75" customHeight="1">
      <c r="A348" s="19"/>
      <c r="B348" s="19"/>
      <c r="C348" s="19"/>
      <c r="D348" s="19"/>
      <c r="E348" s="19"/>
      <c r="F348" s="19"/>
    </row>
    <row r="349" ht="15.75" customHeight="1">
      <c r="A349" s="19"/>
      <c r="B349" s="19"/>
      <c r="C349" s="19"/>
      <c r="D349" s="19"/>
      <c r="E349" s="19"/>
      <c r="F349" s="19"/>
    </row>
    <row r="350" ht="15.75" customHeight="1">
      <c r="A350" s="19"/>
      <c r="B350" s="19"/>
      <c r="C350" s="19"/>
      <c r="D350" s="19"/>
      <c r="E350" s="19"/>
      <c r="F350" s="19"/>
    </row>
    <row r="351" ht="15.75" customHeight="1">
      <c r="A351" s="19"/>
      <c r="B351" s="19"/>
      <c r="C351" s="19"/>
      <c r="D351" s="19"/>
      <c r="E351" s="19"/>
      <c r="F351" s="19"/>
    </row>
    <row r="352" ht="15.75" customHeight="1">
      <c r="A352" s="19"/>
      <c r="B352" s="19"/>
      <c r="C352" s="19"/>
      <c r="D352" s="19"/>
      <c r="E352" s="19"/>
      <c r="F352" s="19"/>
    </row>
    <row r="353" ht="15.75" customHeight="1">
      <c r="A353" s="19"/>
      <c r="B353" s="19"/>
      <c r="C353" s="19"/>
      <c r="D353" s="19"/>
      <c r="E353" s="19"/>
      <c r="F353" s="19"/>
    </row>
    <row r="354" ht="15.75" customHeight="1">
      <c r="A354" s="19"/>
      <c r="B354" s="19"/>
      <c r="C354" s="19"/>
      <c r="D354" s="19"/>
      <c r="E354" s="19"/>
      <c r="F354" s="19"/>
    </row>
    <row r="355" ht="15.75" customHeight="1">
      <c r="A355" s="19"/>
      <c r="B355" s="19"/>
      <c r="C355" s="19"/>
      <c r="D355" s="19"/>
      <c r="E355" s="19"/>
      <c r="F355" s="19"/>
    </row>
    <row r="356" ht="15.75" customHeight="1">
      <c r="A356" s="19"/>
      <c r="B356" s="19"/>
      <c r="C356" s="19"/>
      <c r="D356" s="19"/>
      <c r="E356" s="19"/>
      <c r="F356" s="19"/>
    </row>
    <row r="357" ht="15.75" customHeight="1">
      <c r="A357" s="19"/>
      <c r="B357" s="19"/>
      <c r="C357" s="19"/>
      <c r="D357" s="19"/>
      <c r="E357" s="19"/>
      <c r="F357" s="19"/>
    </row>
    <row r="358" ht="15.75" customHeight="1">
      <c r="A358" s="19"/>
      <c r="B358" s="19"/>
      <c r="C358" s="19"/>
      <c r="D358" s="19"/>
      <c r="E358" s="19"/>
      <c r="F358" s="19"/>
    </row>
    <row r="359" ht="15.75" customHeight="1">
      <c r="A359" s="19"/>
      <c r="B359" s="19"/>
      <c r="C359" s="19"/>
      <c r="D359" s="19"/>
      <c r="E359" s="19"/>
      <c r="F359" s="19"/>
    </row>
    <row r="360" ht="15.75" customHeight="1">
      <c r="A360" s="19"/>
      <c r="B360" s="19"/>
      <c r="C360" s="19"/>
      <c r="D360" s="19"/>
      <c r="E360" s="19"/>
      <c r="F360" s="19"/>
    </row>
    <row r="361" ht="15.75" customHeight="1">
      <c r="A361" s="19"/>
      <c r="B361" s="19"/>
      <c r="C361" s="19"/>
      <c r="D361" s="19"/>
      <c r="E361" s="19"/>
      <c r="F361" s="19"/>
    </row>
    <row r="362" ht="15.75" customHeight="1">
      <c r="A362" s="19"/>
      <c r="B362" s="19"/>
      <c r="C362" s="19"/>
      <c r="D362" s="19"/>
      <c r="E362" s="19"/>
      <c r="F362" s="19"/>
    </row>
    <row r="363" ht="15.75" customHeight="1">
      <c r="A363" s="19"/>
      <c r="B363" s="19"/>
      <c r="C363" s="19"/>
      <c r="D363" s="19"/>
      <c r="E363" s="19"/>
      <c r="F363" s="19"/>
    </row>
    <row r="364" ht="15.75" customHeight="1">
      <c r="A364" s="19"/>
      <c r="B364" s="19"/>
      <c r="C364" s="19"/>
      <c r="D364" s="19"/>
      <c r="E364" s="19"/>
      <c r="F364" s="19"/>
    </row>
    <row r="365" ht="15.75" customHeight="1">
      <c r="A365" s="19"/>
      <c r="B365" s="19"/>
      <c r="C365" s="19"/>
      <c r="D365" s="19"/>
      <c r="E365" s="19"/>
      <c r="F365" s="19"/>
    </row>
    <row r="366" ht="15.75" customHeight="1">
      <c r="A366" s="19"/>
      <c r="B366" s="19"/>
      <c r="C366" s="19"/>
      <c r="D366" s="19"/>
      <c r="E366" s="19"/>
      <c r="F366" s="19"/>
    </row>
    <row r="367" ht="15.75" customHeight="1">
      <c r="A367" s="19"/>
      <c r="B367" s="19"/>
      <c r="C367" s="19"/>
      <c r="D367" s="19"/>
      <c r="E367" s="19"/>
      <c r="F367" s="19"/>
    </row>
    <row r="368" ht="15.75" customHeight="1">
      <c r="A368" s="19"/>
      <c r="B368" s="19"/>
      <c r="C368" s="19"/>
      <c r="D368" s="19"/>
      <c r="E368" s="19"/>
      <c r="F368" s="19"/>
    </row>
    <row r="369" ht="15.75" customHeight="1">
      <c r="A369" s="19"/>
      <c r="B369" s="19"/>
      <c r="C369" s="19"/>
      <c r="D369" s="19"/>
      <c r="E369" s="19"/>
      <c r="F369" s="19"/>
    </row>
    <row r="370" ht="15.75" customHeight="1">
      <c r="A370" s="19"/>
      <c r="B370" s="19"/>
      <c r="C370" s="19"/>
      <c r="D370" s="19"/>
      <c r="E370" s="19"/>
      <c r="F370" s="19"/>
    </row>
    <row r="371" ht="15.75" customHeight="1">
      <c r="A371" s="19"/>
      <c r="B371" s="19"/>
      <c r="C371" s="19"/>
      <c r="D371" s="19"/>
      <c r="E371" s="19"/>
      <c r="F371" s="19"/>
    </row>
    <row r="372" ht="15.75" customHeight="1">
      <c r="A372" s="19"/>
      <c r="B372" s="19"/>
      <c r="C372" s="19"/>
      <c r="D372" s="19"/>
      <c r="E372" s="19"/>
      <c r="F372" s="19"/>
    </row>
    <row r="373" ht="15.75" customHeight="1">
      <c r="A373" s="19"/>
      <c r="B373" s="19"/>
      <c r="C373" s="19"/>
      <c r="D373" s="19"/>
      <c r="E373" s="19"/>
      <c r="F373" s="19"/>
    </row>
    <row r="374" ht="15.75" customHeight="1">
      <c r="A374" s="19"/>
      <c r="B374" s="19"/>
      <c r="C374" s="19"/>
      <c r="D374" s="19"/>
      <c r="E374" s="19"/>
      <c r="F374" s="19"/>
    </row>
    <row r="375" ht="15.75" customHeight="1">
      <c r="A375" s="19"/>
      <c r="B375" s="19"/>
      <c r="C375" s="19"/>
      <c r="D375" s="19"/>
      <c r="E375" s="19"/>
      <c r="F375" s="19"/>
    </row>
    <row r="376" ht="15.75" customHeight="1">
      <c r="A376" s="19"/>
      <c r="B376" s="19"/>
      <c r="C376" s="19"/>
      <c r="D376" s="19"/>
      <c r="E376" s="19"/>
      <c r="F376" s="19"/>
    </row>
    <row r="377" ht="15.75" customHeight="1">
      <c r="A377" s="19"/>
      <c r="B377" s="19"/>
      <c r="C377" s="19"/>
      <c r="D377" s="19"/>
      <c r="E377" s="19"/>
      <c r="F377" s="19"/>
    </row>
    <row r="378" ht="15.75" customHeight="1">
      <c r="A378" s="19"/>
      <c r="B378" s="19"/>
      <c r="C378" s="19"/>
      <c r="D378" s="19"/>
      <c r="E378" s="19"/>
      <c r="F378" s="19"/>
    </row>
    <row r="379" ht="15.75" customHeight="1">
      <c r="A379" s="19"/>
      <c r="B379" s="19"/>
      <c r="C379" s="19"/>
      <c r="D379" s="19"/>
      <c r="E379" s="19"/>
      <c r="F379" s="19"/>
    </row>
    <row r="380" ht="15.75" customHeight="1">
      <c r="A380" s="19"/>
      <c r="B380" s="19"/>
      <c r="C380" s="19"/>
      <c r="D380" s="19"/>
      <c r="E380" s="19"/>
      <c r="F380" s="19"/>
    </row>
    <row r="381" ht="15.75" customHeight="1">
      <c r="A381" s="19"/>
      <c r="B381" s="19"/>
      <c r="C381" s="19"/>
      <c r="D381" s="19"/>
      <c r="E381" s="19"/>
      <c r="F381" s="19"/>
    </row>
    <row r="382" ht="15.75" customHeight="1">
      <c r="A382" s="19"/>
      <c r="B382" s="19"/>
      <c r="C382" s="19"/>
      <c r="D382" s="19"/>
      <c r="E382" s="19"/>
      <c r="F382" s="19"/>
    </row>
    <row r="383" ht="15.75" customHeight="1">
      <c r="A383" s="19"/>
      <c r="B383" s="19"/>
      <c r="C383" s="19"/>
      <c r="D383" s="19"/>
      <c r="E383" s="19"/>
      <c r="F383" s="19"/>
    </row>
    <row r="384" ht="15.75" customHeight="1">
      <c r="A384" s="19"/>
      <c r="B384" s="19"/>
      <c r="C384" s="19"/>
      <c r="D384" s="19"/>
      <c r="E384" s="19"/>
      <c r="F384" s="19"/>
    </row>
    <row r="385" ht="15.75" customHeight="1">
      <c r="A385" s="19"/>
      <c r="B385" s="19"/>
      <c r="C385" s="19"/>
      <c r="D385" s="19"/>
      <c r="E385" s="19"/>
      <c r="F385" s="19"/>
    </row>
    <row r="386" ht="15.75" customHeight="1">
      <c r="A386" s="19"/>
      <c r="B386" s="19"/>
      <c r="C386" s="19"/>
      <c r="D386" s="19"/>
      <c r="E386" s="19"/>
      <c r="F386" s="19"/>
    </row>
    <row r="387" ht="15.75" customHeight="1">
      <c r="A387" s="19"/>
      <c r="B387" s="19"/>
      <c r="C387" s="19"/>
      <c r="D387" s="19"/>
      <c r="E387" s="19"/>
      <c r="F387" s="19"/>
    </row>
    <row r="388" ht="15.75" customHeight="1">
      <c r="A388" s="19"/>
      <c r="B388" s="19"/>
      <c r="C388" s="19"/>
      <c r="D388" s="19"/>
      <c r="E388" s="19"/>
      <c r="F388" s="19"/>
    </row>
    <row r="389" ht="15.75" customHeight="1">
      <c r="A389" s="19"/>
      <c r="B389" s="19"/>
      <c r="C389" s="19"/>
      <c r="D389" s="19"/>
      <c r="E389" s="19"/>
      <c r="F389" s="19"/>
    </row>
    <row r="390" ht="15.75" customHeight="1">
      <c r="A390" s="19"/>
      <c r="B390" s="19"/>
      <c r="C390" s="19"/>
      <c r="D390" s="19"/>
      <c r="E390" s="19"/>
      <c r="F390" s="19"/>
    </row>
    <row r="391" ht="15.75" customHeight="1">
      <c r="A391" s="19"/>
      <c r="B391" s="19"/>
      <c r="C391" s="19"/>
      <c r="D391" s="19"/>
      <c r="E391" s="19"/>
      <c r="F391" s="19"/>
    </row>
    <row r="392" ht="15.75" customHeight="1">
      <c r="A392" s="19"/>
      <c r="B392" s="19"/>
      <c r="C392" s="19"/>
      <c r="D392" s="19"/>
      <c r="E392" s="19"/>
      <c r="F392" s="19"/>
    </row>
    <row r="393" ht="15.75" customHeight="1">
      <c r="A393" s="19"/>
      <c r="B393" s="19"/>
      <c r="C393" s="19"/>
      <c r="D393" s="19"/>
      <c r="E393" s="19"/>
      <c r="F393" s="19"/>
    </row>
    <row r="394" ht="15.75" customHeight="1">
      <c r="A394" s="19"/>
      <c r="B394" s="19"/>
      <c r="C394" s="19"/>
      <c r="D394" s="19"/>
      <c r="E394" s="19"/>
      <c r="F394" s="19"/>
    </row>
    <row r="395" ht="15.75" customHeight="1">
      <c r="A395" s="19"/>
      <c r="B395" s="19"/>
      <c r="C395" s="19"/>
      <c r="D395" s="19"/>
      <c r="E395" s="19"/>
      <c r="F395" s="19"/>
    </row>
    <row r="396" ht="15.75" customHeight="1">
      <c r="A396" s="19"/>
      <c r="B396" s="19"/>
      <c r="C396" s="19"/>
      <c r="D396" s="19"/>
      <c r="E396" s="19"/>
      <c r="F396" s="19"/>
    </row>
    <row r="397" ht="15.75" customHeight="1">
      <c r="A397" s="19"/>
      <c r="B397" s="19"/>
      <c r="C397" s="19"/>
      <c r="D397" s="19"/>
      <c r="E397" s="19"/>
      <c r="F397" s="19"/>
    </row>
    <row r="398" ht="15.75" customHeight="1">
      <c r="A398" s="19"/>
      <c r="B398" s="19"/>
      <c r="C398" s="19"/>
      <c r="D398" s="19"/>
      <c r="E398" s="19"/>
      <c r="F398" s="19"/>
    </row>
    <row r="399" ht="15.75" customHeight="1">
      <c r="A399" s="19"/>
      <c r="B399" s="19"/>
      <c r="C399" s="19"/>
      <c r="D399" s="19"/>
      <c r="E399" s="19"/>
      <c r="F399" s="19"/>
    </row>
    <row r="400" ht="15.75" customHeight="1">
      <c r="A400" s="19"/>
      <c r="B400" s="19"/>
      <c r="C400" s="19"/>
      <c r="D400" s="19"/>
      <c r="E400" s="19"/>
      <c r="F400" s="19"/>
    </row>
    <row r="401" ht="15.75" customHeight="1">
      <c r="A401" s="19"/>
      <c r="B401" s="19"/>
      <c r="C401" s="19"/>
      <c r="D401" s="19"/>
      <c r="E401" s="19"/>
      <c r="F401" s="19"/>
    </row>
    <row r="402" ht="15.75" customHeight="1">
      <c r="A402" s="19"/>
      <c r="B402" s="19"/>
      <c r="C402" s="19"/>
      <c r="D402" s="19"/>
      <c r="E402" s="19"/>
      <c r="F402" s="19"/>
    </row>
    <row r="403" ht="15.75" customHeight="1">
      <c r="A403" s="19"/>
      <c r="B403" s="19"/>
      <c r="C403" s="19"/>
      <c r="D403" s="19"/>
      <c r="E403" s="19"/>
      <c r="F403" s="19"/>
    </row>
    <row r="404" ht="15.75" customHeight="1">
      <c r="A404" s="19"/>
      <c r="B404" s="19"/>
      <c r="C404" s="19"/>
      <c r="D404" s="19"/>
      <c r="E404" s="19"/>
      <c r="F404" s="19"/>
    </row>
    <row r="405" ht="15.75" customHeight="1">
      <c r="A405" s="19"/>
      <c r="B405" s="19"/>
      <c r="C405" s="19"/>
      <c r="D405" s="19"/>
      <c r="E405" s="19"/>
      <c r="F405" s="19"/>
    </row>
    <row r="406" ht="15.75" customHeight="1">
      <c r="A406" s="19"/>
      <c r="B406" s="19"/>
      <c r="C406" s="19"/>
      <c r="D406" s="19"/>
      <c r="E406" s="19"/>
      <c r="F406" s="19"/>
    </row>
    <row r="407" ht="15.75" customHeight="1">
      <c r="A407" s="19"/>
      <c r="B407" s="19"/>
      <c r="C407" s="19"/>
      <c r="D407" s="19"/>
      <c r="E407" s="19"/>
      <c r="F407" s="19"/>
    </row>
    <row r="408" ht="15.75" customHeight="1">
      <c r="A408" s="19"/>
      <c r="B408" s="19"/>
      <c r="C408" s="19"/>
      <c r="D408" s="19"/>
      <c r="E408" s="19"/>
      <c r="F408" s="19"/>
    </row>
    <row r="409" ht="15.75" customHeight="1">
      <c r="A409" s="19"/>
      <c r="B409" s="19"/>
      <c r="C409" s="19"/>
      <c r="D409" s="19"/>
      <c r="E409" s="19"/>
      <c r="F409" s="19"/>
    </row>
    <row r="410" ht="15.75" customHeight="1">
      <c r="A410" s="19"/>
      <c r="B410" s="19"/>
      <c r="C410" s="19"/>
      <c r="D410" s="19"/>
      <c r="E410" s="19"/>
      <c r="F410" s="19"/>
    </row>
    <row r="411" ht="15.75" customHeight="1">
      <c r="A411" s="19"/>
      <c r="B411" s="19"/>
      <c r="C411" s="19"/>
      <c r="D411" s="19"/>
      <c r="E411" s="19"/>
      <c r="F411" s="19"/>
    </row>
    <row r="412" ht="15.75" customHeight="1">
      <c r="A412" s="19"/>
      <c r="B412" s="19"/>
      <c r="C412" s="19"/>
      <c r="D412" s="19"/>
      <c r="E412" s="19"/>
      <c r="F412" s="19"/>
    </row>
    <row r="413" ht="15.75" customHeight="1">
      <c r="A413" s="19"/>
      <c r="B413" s="19"/>
      <c r="C413" s="19"/>
      <c r="D413" s="19"/>
      <c r="E413" s="19"/>
      <c r="F413" s="19"/>
    </row>
    <row r="414" ht="15.75" customHeight="1">
      <c r="A414" s="19"/>
      <c r="B414" s="19"/>
      <c r="C414" s="19"/>
      <c r="D414" s="19"/>
      <c r="E414" s="19"/>
      <c r="F414" s="19"/>
    </row>
    <row r="415" ht="15.75" customHeight="1">
      <c r="A415" s="19"/>
      <c r="B415" s="19"/>
      <c r="C415" s="19"/>
      <c r="D415" s="19"/>
      <c r="E415" s="19"/>
      <c r="F415" s="19"/>
    </row>
    <row r="416" ht="15.75" customHeight="1">
      <c r="A416" s="19"/>
      <c r="B416" s="19"/>
      <c r="C416" s="19"/>
      <c r="D416" s="19"/>
      <c r="E416" s="19"/>
      <c r="F416" s="19"/>
    </row>
    <row r="417" ht="15.75" customHeight="1">
      <c r="A417" s="19"/>
      <c r="B417" s="19"/>
      <c r="C417" s="19"/>
      <c r="D417" s="19"/>
      <c r="E417" s="19"/>
      <c r="F417" s="19"/>
    </row>
    <row r="418" ht="15.75" customHeight="1">
      <c r="A418" s="19"/>
      <c r="B418" s="19"/>
      <c r="C418" s="19"/>
      <c r="D418" s="19"/>
      <c r="E418" s="19"/>
      <c r="F418" s="19"/>
    </row>
    <row r="419" ht="15.75" customHeight="1">
      <c r="A419" s="19"/>
      <c r="B419" s="19"/>
      <c r="C419" s="19"/>
      <c r="D419" s="19"/>
      <c r="E419" s="19"/>
      <c r="F419" s="19"/>
    </row>
    <row r="420" ht="15.75" customHeight="1">
      <c r="A420" s="19"/>
      <c r="B420" s="19"/>
      <c r="C420" s="19"/>
      <c r="D420" s="19"/>
      <c r="E420" s="19"/>
      <c r="F420" s="19"/>
    </row>
    <row r="421" ht="15.75" customHeight="1">
      <c r="A421" s="19"/>
      <c r="B421" s="19"/>
      <c r="C421" s="19"/>
      <c r="D421" s="19"/>
      <c r="E421" s="19"/>
      <c r="F421" s="19"/>
    </row>
    <row r="422" ht="15.75" customHeight="1">
      <c r="A422" s="19"/>
      <c r="B422" s="19"/>
      <c r="C422" s="19"/>
      <c r="D422" s="19"/>
      <c r="E422" s="19"/>
      <c r="F422" s="19"/>
    </row>
    <row r="423" ht="15.75" customHeight="1">
      <c r="A423" s="19"/>
      <c r="B423" s="19"/>
      <c r="C423" s="19"/>
      <c r="D423" s="19"/>
      <c r="E423" s="19"/>
      <c r="F423" s="19"/>
    </row>
    <row r="424" ht="15.75" customHeight="1">
      <c r="A424" s="19"/>
      <c r="B424" s="19"/>
      <c r="C424" s="19"/>
      <c r="D424" s="19"/>
      <c r="E424" s="19"/>
      <c r="F424" s="19"/>
    </row>
    <row r="425" ht="15.75" customHeight="1">
      <c r="A425" s="19"/>
      <c r="B425" s="19"/>
      <c r="C425" s="19"/>
      <c r="D425" s="19"/>
      <c r="E425" s="19"/>
      <c r="F425" s="19"/>
    </row>
    <row r="426" ht="15.75" customHeight="1">
      <c r="A426" s="19"/>
      <c r="B426" s="19"/>
      <c r="C426" s="19"/>
      <c r="D426" s="19"/>
      <c r="E426" s="19"/>
      <c r="F426" s="19"/>
    </row>
    <row r="427" ht="15.75" customHeight="1">
      <c r="A427" s="19"/>
      <c r="B427" s="19"/>
      <c r="C427" s="19"/>
      <c r="D427" s="19"/>
      <c r="E427" s="19"/>
      <c r="F427" s="19"/>
    </row>
    <row r="428" ht="15.75" customHeight="1">
      <c r="A428" s="19"/>
      <c r="B428" s="19"/>
      <c r="C428" s="19"/>
      <c r="D428" s="19"/>
      <c r="E428" s="19"/>
      <c r="F428" s="19"/>
    </row>
    <row r="429" ht="15.75" customHeight="1">
      <c r="A429" s="19"/>
      <c r="B429" s="19"/>
      <c r="C429" s="19"/>
      <c r="D429" s="19"/>
      <c r="E429" s="19"/>
      <c r="F429" s="19"/>
    </row>
    <row r="430" ht="15.75" customHeight="1">
      <c r="A430" s="19"/>
      <c r="B430" s="19"/>
      <c r="C430" s="19"/>
      <c r="D430" s="19"/>
      <c r="E430" s="19"/>
      <c r="F430" s="19"/>
    </row>
    <row r="431" ht="15.75" customHeight="1">
      <c r="A431" s="19"/>
      <c r="B431" s="19"/>
      <c r="C431" s="19"/>
      <c r="D431" s="19"/>
      <c r="E431" s="19"/>
      <c r="F431" s="19"/>
    </row>
    <row r="432" ht="15.75" customHeight="1">
      <c r="A432" s="19"/>
      <c r="B432" s="19"/>
      <c r="C432" s="19"/>
      <c r="D432" s="19"/>
      <c r="E432" s="19"/>
      <c r="F432" s="19"/>
    </row>
    <row r="433" ht="15.75" customHeight="1">
      <c r="A433" s="19"/>
      <c r="B433" s="19"/>
      <c r="C433" s="19"/>
      <c r="D433" s="19"/>
      <c r="E433" s="19"/>
      <c r="F433" s="19"/>
    </row>
    <row r="434" ht="15.75" customHeight="1">
      <c r="A434" s="19"/>
      <c r="B434" s="19"/>
      <c r="C434" s="19"/>
      <c r="D434" s="19"/>
      <c r="E434" s="19"/>
      <c r="F434" s="19"/>
    </row>
    <row r="435" ht="15.75" customHeight="1">
      <c r="A435" s="19"/>
      <c r="B435" s="19"/>
      <c r="C435" s="19"/>
      <c r="D435" s="19"/>
      <c r="E435" s="19"/>
      <c r="F435" s="19"/>
    </row>
    <row r="436" ht="15.75" customHeight="1">
      <c r="A436" s="19"/>
      <c r="B436" s="19"/>
      <c r="C436" s="19"/>
      <c r="D436" s="19"/>
      <c r="E436" s="19"/>
      <c r="F436" s="19"/>
    </row>
    <row r="437" ht="15.75" customHeight="1">
      <c r="A437" s="19"/>
      <c r="B437" s="19"/>
      <c r="C437" s="19"/>
      <c r="D437" s="19"/>
      <c r="E437" s="19"/>
      <c r="F437" s="19"/>
    </row>
    <row r="438" ht="15.75" customHeight="1">
      <c r="A438" s="19"/>
      <c r="B438" s="19"/>
      <c r="C438" s="19"/>
      <c r="D438" s="19"/>
      <c r="E438" s="19"/>
      <c r="F438" s="19"/>
    </row>
    <row r="439" ht="15.75" customHeight="1">
      <c r="A439" s="19"/>
      <c r="B439" s="19"/>
      <c r="C439" s="19"/>
      <c r="D439" s="19"/>
      <c r="E439" s="19"/>
      <c r="F439" s="19"/>
    </row>
    <row r="440" ht="15.75" customHeight="1">
      <c r="A440" s="19"/>
      <c r="B440" s="19"/>
      <c r="C440" s="19"/>
      <c r="D440" s="19"/>
      <c r="E440" s="19"/>
      <c r="F440" s="19"/>
    </row>
    <row r="441" ht="15.75" customHeight="1">
      <c r="A441" s="19"/>
      <c r="B441" s="19"/>
      <c r="C441" s="19"/>
      <c r="D441" s="19"/>
      <c r="E441" s="19"/>
      <c r="F441" s="19"/>
    </row>
    <row r="442" ht="15.75" customHeight="1">
      <c r="A442" s="19"/>
      <c r="B442" s="19"/>
      <c r="C442" s="19"/>
      <c r="D442" s="19"/>
      <c r="E442" s="19"/>
      <c r="F442" s="19"/>
    </row>
    <row r="443" ht="15.75" customHeight="1">
      <c r="A443" s="19"/>
      <c r="B443" s="19"/>
      <c r="C443" s="19"/>
      <c r="D443" s="19"/>
      <c r="E443" s="19"/>
      <c r="F443" s="19"/>
    </row>
    <row r="444" ht="15.75" customHeight="1">
      <c r="A444" s="19"/>
      <c r="B444" s="19"/>
      <c r="C444" s="19"/>
      <c r="D444" s="19"/>
      <c r="E444" s="19"/>
      <c r="F444" s="19"/>
    </row>
    <row r="445" ht="15.75" customHeight="1">
      <c r="A445" s="19"/>
      <c r="B445" s="19"/>
      <c r="C445" s="19"/>
      <c r="D445" s="19"/>
      <c r="E445" s="19"/>
      <c r="F445" s="19"/>
    </row>
    <row r="446" ht="15.75" customHeight="1">
      <c r="A446" s="19"/>
      <c r="B446" s="19"/>
      <c r="C446" s="19"/>
      <c r="D446" s="19"/>
      <c r="E446" s="19"/>
      <c r="F446" s="19"/>
    </row>
    <row r="447" ht="15.75" customHeight="1">
      <c r="A447" s="19"/>
      <c r="B447" s="19"/>
      <c r="C447" s="19"/>
      <c r="D447" s="19"/>
      <c r="E447" s="19"/>
      <c r="F447" s="19"/>
    </row>
    <row r="448" ht="15.75" customHeight="1">
      <c r="A448" s="19"/>
      <c r="B448" s="19"/>
      <c r="C448" s="19"/>
      <c r="D448" s="19"/>
      <c r="E448" s="19"/>
      <c r="F448" s="19"/>
    </row>
    <row r="449" ht="15.75" customHeight="1">
      <c r="A449" s="19"/>
      <c r="B449" s="19"/>
      <c r="C449" s="19"/>
      <c r="D449" s="19"/>
      <c r="E449" s="19"/>
      <c r="F449" s="19"/>
    </row>
    <row r="450" ht="15.75" customHeight="1">
      <c r="A450" s="19"/>
      <c r="B450" s="19"/>
      <c r="C450" s="19"/>
      <c r="D450" s="19"/>
      <c r="E450" s="19"/>
      <c r="F450" s="19"/>
    </row>
    <row r="451" ht="15.75" customHeight="1">
      <c r="A451" s="19"/>
      <c r="B451" s="19"/>
      <c r="C451" s="19"/>
      <c r="D451" s="19"/>
      <c r="E451" s="19"/>
      <c r="F451" s="19"/>
    </row>
    <row r="452" ht="15.75" customHeight="1">
      <c r="A452" s="19"/>
      <c r="B452" s="19"/>
      <c r="C452" s="19"/>
      <c r="D452" s="19"/>
      <c r="E452" s="19"/>
      <c r="F452" s="19"/>
    </row>
    <row r="453" ht="15.75" customHeight="1">
      <c r="A453" s="19"/>
      <c r="B453" s="19"/>
      <c r="C453" s="19"/>
      <c r="D453" s="19"/>
      <c r="E453" s="19"/>
      <c r="F453" s="19"/>
    </row>
    <row r="454" ht="15.75" customHeight="1">
      <c r="A454" s="19"/>
      <c r="B454" s="19"/>
      <c r="C454" s="19"/>
      <c r="D454" s="19"/>
      <c r="E454" s="19"/>
      <c r="F454" s="19"/>
    </row>
    <row r="455" ht="15.75" customHeight="1">
      <c r="A455" s="19"/>
      <c r="B455" s="19"/>
      <c r="C455" s="19"/>
      <c r="D455" s="19"/>
      <c r="E455" s="19"/>
      <c r="F455" s="19"/>
    </row>
    <row r="456" ht="15.75" customHeight="1">
      <c r="A456" s="19"/>
      <c r="B456" s="19"/>
      <c r="C456" s="19"/>
      <c r="D456" s="19"/>
      <c r="E456" s="19"/>
      <c r="F456" s="19"/>
    </row>
    <row r="457" ht="15.75" customHeight="1">
      <c r="A457" s="19"/>
      <c r="B457" s="19"/>
      <c r="C457" s="19"/>
      <c r="D457" s="19"/>
      <c r="E457" s="19"/>
      <c r="F457" s="19"/>
    </row>
    <row r="458" ht="15.75" customHeight="1">
      <c r="A458" s="19"/>
      <c r="B458" s="19"/>
      <c r="C458" s="19"/>
      <c r="D458" s="19"/>
      <c r="E458" s="19"/>
      <c r="F458" s="19"/>
    </row>
    <row r="459" ht="15.75" customHeight="1">
      <c r="A459" s="19"/>
      <c r="B459" s="19"/>
      <c r="C459" s="19"/>
      <c r="D459" s="19"/>
      <c r="E459" s="19"/>
      <c r="F459" s="19"/>
    </row>
    <row r="460" ht="15.75" customHeight="1">
      <c r="A460" s="19"/>
      <c r="B460" s="19"/>
      <c r="C460" s="19"/>
      <c r="D460" s="19"/>
      <c r="E460" s="19"/>
      <c r="F460" s="19"/>
    </row>
    <row r="461" ht="15.75" customHeight="1">
      <c r="A461" s="19"/>
      <c r="B461" s="19"/>
      <c r="C461" s="19"/>
      <c r="D461" s="19"/>
      <c r="E461" s="19"/>
      <c r="F461" s="19"/>
    </row>
    <row r="462" ht="15.75" customHeight="1">
      <c r="A462" s="19"/>
      <c r="B462" s="19"/>
      <c r="C462" s="19"/>
      <c r="D462" s="19"/>
      <c r="E462" s="19"/>
      <c r="F462" s="19"/>
    </row>
    <row r="463" ht="15.75" customHeight="1">
      <c r="A463" s="19"/>
      <c r="B463" s="19"/>
      <c r="C463" s="19"/>
      <c r="D463" s="19"/>
      <c r="E463" s="19"/>
      <c r="F463" s="19"/>
    </row>
    <row r="464" ht="15.75" customHeight="1">
      <c r="A464" s="19"/>
      <c r="B464" s="19"/>
      <c r="C464" s="19"/>
      <c r="D464" s="19"/>
      <c r="E464" s="19"/>
      <c r="F464" s="19"/>
    </row>
    <row r="465" ht="15.75" customHeight="1">
      <c r="A465" s="19"/>
      <c r="B465" s="19"/>
      <c r="C465" s="19"/>
      <c r="D465" s="19"/>
      <c r="E465" s="19"/>
      <c r="F465" s="19"/>
    </row>
    <row r="466" ht="15.75" customHeight="1">
      <c r="A466" s="19"/>
      <c r="B466" s="19"/>
      <c r="C466" s="19"/>
      <c r="D466" s="19"/>
      <c r="E466" s="19"/>
      <c r="F466" s="19"/>
    </row>
    <row r="467" ht="15.75" customHeight="1">
      <c r="A467" s="19"/>
      <c r="B467" s="19"/>
      <c r="C467" s="19"/>
      <c r="D467" s="19"/>
      <c r="E467" s="19"/>
      <c r="F467" s="19"/>
    </row>
    <row r="468" ht="15.75" customHeight="1">
      <c r="A468" s="19"/>
      <c r="B468" s="19"/>
      <c r="C468" s="19"/>
      <c r="D468" s="19"/>
      <c r="E468" s="19"/>
      <c r="F468" s="19"/>
    </row>
    <row r="469" ht="15.75" customHeight="1">
      <c r="A469" s="19"/>
      <c r="B469" s="19"/>
      <c r="C469" s="19"/>
      <c r="D469" s="19"/>
      <c r="E469" s="19"/>
      <c r="F469" s="19"/>
    </row>
    <row r="470" ht="15.75" customHeight="1">
      <c r="A470" s="19"/>
      <c r="B470" s="19"/>
      <c r="C470" s="19"/>
      <c r="D470" s="19"/>
      <c r="E470" s="19"/>
      <c r="F470" s="19"/>
    </row>
    <row r="471" ht="15.75" customHeight="1">
      <c r="A471" s="19"/>
      <c r="B471" s="19"/>
      <c r="C471" s="19"/>
      <c r="D471" s="19"/>
      <c r="E471" s="19"/>
      <c r="F471" s="19"/>
    </row>
    <row r="472" ht="15.75" customHeight="1">
      <c r="A472" s="19"/>
      <c r="B472" s="19"/>
      <c r="C472" s="19"/>
      <c r="D472" s="19"/>
      <c r="E472" s="19"/>
      <c r="F472" s="19"/>
    </row>
    <row r="473" ht="15.75" customHeight="1">
      <c r="A473" s="19"/>
      <c r="B473" s="19"/>
      <c r="C473" s="19"/>
      <c r="D473" s="19"/>
      <c r="E473" s="19"/>
      <c r="F473" s="19"/>
    </row>
    <row r="474" ht="15.75" customHeight="1">
      <c r="A474" s="19"/>
      <c r="B474" s="19"/>
      <c r="C474" s="19"/>
      <c r="D474" s="19"/>
      <c r="E474" s="19"/>
      <c r="F474" s="19"/>
    </row>
    <row r="475" ht="15.75" customHeight="1">
      <c r="A475" s="19"/>
      <c r="B475" s="19"/>
      <c r="C475" s="19"/>
      <c r="D475" s="19"/>
      <c r="E475" s="19"/>
      <c r="F475" s="19"/>
    </row>
    <row r="476" ht="15.75" customHeight="1">
      <c r="A476" s="19"/>
      <c r="B476" s="19"/>
      <c r="C476" s="19"/>
      <c r="D476" s="19"/>
      <c r="E476" s="19"/>
      <c r="F476" s="19"/>
    </row>
    <row r="477" ht="15.75" customHeight="1">
      <c r="A477" s="19"/>
      <c r="B477" s="19"/>
      <c r="C477" s="19"/>
      <c r="D477" s="19"/>
      <c r="E477" s="19"/>
      <c r="F477" s="19"/>
    </row>
    <row r="478" ht="15.75" customHeight="1">
      <c r="A478" s="19"/>
      <c r="B478" s="19"/>
      <c r="C478" s="19"/>
      <c r="D478" s="19"/>
      <c r="E478" s="19"/>
      <c r="F478" s="19"/>
    </row>
    <row r="479" ht="15.75" customHeight="1">
      <c r="A479" s="19"/>
      <c r="B479" s="19"/>
      <c r="C479" s="19"/>
      <c r="D479" s="19"/>
      <c r="E479" s="19"/>
      <c r="F479" s="19"/>
    </row>
    <row r="480" ht="15.75" customHeight="1">
      <c r="A480" s="19"/>
      <c r="B480" s="19"/>
      <c r="C480" s="19"/>
      <c r="D480" s="19"/>
      <c r="E480" s="19"/>
      <c r="F480" s="19"/>
    </row>
    <row r="481" ht="15.75" customHeight="1">
      <c r="A481" s="19"/>
      <c r="B481" s="19"/>
      <c r="C481" s="19"/>
      <c r="D481" s="19"/>
      <c r="E481" s="19"/>
      <c r="F481" s="19"/>
    </row>
    <row r="482" ht="15.75" customHeight="1">
      <c r="A482" s="19"/>
      <c r="B482" s="19"/>
      <c r="C482" s="19"/>
      <c r="D482" s="19"/>
      <c r="E482" s="19"/>
      <c r="F482" s="19"/>
    </row>
    <row r="483" ht="15.75" customHeight="1">
      <c r="A483" s="19"/>
      <c r="B483" s="19"/>
      <c r="C483" s="19"/>
      <c r="D483" s="19"/>
      <c r="E483" s="19"/>
      <c r="F483" s="19"/>
    </row>
    <row r="484" ht="15.75" customHeight="1">
      <c r="A484" s="19"/>
      <c r="B484" s="19"/>
      <c r="C484" s="19"/>
      <c r="D484" s="19"/>
      <c r="E484" s="19"/>
      <c r="F484" s="19"/>
    </row>
    <row r="485" ht="15.75" customHeight="1">
      <c r="A485" s="19"/>
      <c r="B485" s="19"/>
      <c r="C485" s="19"/>
      <c r="D485" s="19"/>
      <c r="E485" s="19"/>
      <c r="F485" s="19"/>
    </row>
    <row r="486" ht="15.75" customHeight="1">
      <c r="A486" s="19"/>
      <c r="B486" s="19"/>
      <c r="C486" s="19"/>
      <c r="D486" s="19"/>
      <c r="E486" s="19"/>
      <c r="F486" s="19"/>
    </row>
    <row r="487" ht="15.75" customHeight="1">
      <c r="A487" s="19"/>
      <c r="B487" s="19"/>
      <c r="C487" s="19"/>
      <c r="D487" s="19"/>
      <c r="E487" s="19"/>
      <c r="F487" s="19"/>
    </row>
    <row r="488" ht="15.75" customHeight="1">
      <c r="A488" s="19"/>
      <c r="B488" s="19"/>
      <c r="C488" s="19"/>
      <c r="D488" s="19"/>
      <c r="E488" s="19"/>
      <c r="F488" s="19"/>
    </row>
    <row r="489" ht="15.75" customHeight="1">
      <c r="A489" s="19"/>
      <c r="B489" s="19"/>
      <c r="C489" s="19"/>
      <c r="D489" s="19"/>
      <c r="E489" s="19"/>
      <c r="F489" s="19"/>
    </row>
    <row r="490" ht="15.75" customHeight="1">
      <c r="A490" s="19"/>
      <c r="B490" s="19"/>
      <c r="C490" s="19"/>
      <c r="D490" s="19"/>
      <c r="E490" s="19"/>
      <c r="F490" s="19"/>
    </row>
    <row r="491" ht="15.75" customHeight="1">
      <c r="A491" s="19"/>
      <c r="B491" s="19"/>
      <c r="C491" s="19"/>
      <c r="D491" s="19"/>
      <c r="E491" s="19"/>
      <c r="F491" s="19"/>
    </row>
    <row r="492" ht="15.75" customHeight="1">
      <c r="A492" s="19"/>
      <c r="B492" s="19"/>
      <c r="C492" s="19"/>
      <c r="D492" s="19"/>
      <c r="E492" s="19"/>
      <c r="F492" s="19"/>
    </row>
    <row r="493" ht="15.75" customHeight="1">
      <c r="A493" s="19"/>
      <c r="B493" s="19"/>
      <c r="C493" s="19"/>
      <c r="D493" s="19"/>
      <c r="E493" s="19"/>
      <c r="F493" s="19"/>
    </row>
    <row r="494" ht="15.75" customHeight="1">
      <c r="A494" s="19"/>
      <c r="B494" s="19"/>
      <c r="C494" s="19"/>
      <c r="D494" s="19"/>
      <c r="E494" s="19"/>
      <c r="F494" s="19"/>
    </row>
    <row r="495" ht="15.75" customHeight="1">
      <c r="A495" s="19"/>
      <c r="B495" s="19"/>
      <c r="C495" s="19"/>
      <c r="D495" s="19"/>
      <c r="E495" s="19"/>
      <c r="F495" s="19"/>
    </row>
    <row r="496" ht="15.75" customHeight="1">
      <c r="A496" s="19"/>
      <c r="B496" s="19"/>
      <c r="C496" s="19"/>
      <c r="D496" s="19"/>
      <c r="E496" s="19"/>
      <c r="F496" s="19"/>
    </row>
    <row r="497" ht="15.75" customHeight="1">
      <c r="A497" s="19"/>
      <c r="B497" s="19"/>
      <c r="C497" s="19"/>
      <c r="D497" s="19"/>
      <c r="E497" s="19"/>
      <c r="F497" s="19"/>
    </row>
    <row r="498" ht="15.75" customHeight="1">
      <c r="A498" s="19"/>
      <c r="B498" s="19"/>
      <c r="C498" s="19"/>
      <c r="D498" s="19"/>
      <c r="E498" s="19"/>
      <c r="F498" s="19"/>
    </row>
    <row r="499" ht="15.75" customHeight="1">
      <c r="A499" s="19"/>
      <c r="B499" s="19"/>
      <c r="C499" s="19"/>
      <c r="D499" s="19"/>
      <c r="E499" s="19"/>
      <c r="F499" s="19"/>
    </row>
    <row r="500" ht="15.75" customHeight="1">
      <c r="A500" s="19"/>
      <c r="B500" s="19"/>
      <c r="C500" s="19"/>
      <c r="D500" s="19"/>
      <c r="E500" s="19"/>
      <c r="F500" s="19"/>
    </row>
    <row r="501" ht="15.75" customHeight="1">
      <c r="A501" s="19"/>
      <c r="B501" s="19"/>
      <c r="C501" s="19"/>
      <c r="D501" s="19"/>
      <c r="E501" s="19"/>
      <c r="F501" s="19"/>
    </row>
    <row r="502" ht="15.75" customHeight="1">
      <c r="A502" s="19"/>
      <c r="B502" s="19"/>
      <c r="C502" s="19"/>
      <c r="D502" s="19"/>
      <c r="E502" s="19"/>
      <c r="F502" s="19"/>
    </row>
    <row r="503" ht="15.75" customHeight="1">
      <c r="A503" s="19"/>
      <c r="B503" s="19"/>
      <c r="C503" s="19"/>
      <c r="D503" s="19"/>
      <c r="E503" s="19"/>
      <c r="F503" s="19"/>
    </row>
    <row r="504" ht="15.75" customHeight="1">
      <c r="A504" s="19"/>
      <c r="B504" s="19"/>
      <c r="C504" s="19"/>
      <c r="D504" s="19"/>
      <c r="E504" s="19"/>
      <c r="F504" s="19"/>
    </row>
    <row r="505" ht="15.75" customHeight="1">
      <c r="A505" s="19"/>
      <c r="B505" s="19"/>
      <c r="C505" s="19"/>
      <c r="D505" s="19"/>
      <c r="E505" s="19"/>
      <c r="F505" s="19"/>
    </row>
    <row r="506" ht="15.75" customHeight="1">
      <c r="A506" s="19"/>
      <c r="B506" s="19"/>
      <c r="C506" s="19"/>
      <c r="D506" s="19"/>
      <c r="E506" s="19"/>
      <c r="F506" s="19"/>
    </row>
    <row r="507" ht="15.75" customHeight="1">
      <c r="A507" s="19"/>
      <c r="B507" s="19"/>
      <c r="C507" s="19"/>
      <c r="D507" s="19"/>
      <c r="E507" s="19"/>
      <c r="F507" s="19"/>
    </row>
    <row r="508" ht="15.75" customHeight="1">
      <c r="A508" s="19"/>
      <c r="B508" s="19"/>
      <c r="C508" s="19"/>
      <c r="D508" s="19"/>
      <c r="E508" s="19"/>
      <c r="F508" s="19"/>
    </row>
    <row r="509" ht="15.75" customHeight="1">
      <c r="A509" s="19"/>
      <c r="B509" s="19"/>
      <c r="C509" s="19"/>
      <c r="D509" s="19"/>
      <c r="E509" s="19"/>
      <c r="F509" s="19"/>
    </row>
    <row r="510" ht="15.75" customHeight="1">
      <c r="A510" s="19"/>
      <c r="B510" s="19"/>
      <c r="C510" s="19"/>
      <c r="D510" s="19"/>
      <c r="E510" s="19"/>
      <c r="F510" s="19"/>
    </row>
    <row r="511" ht="15.75" customHeight="1">
      <c r="A511" s="19"/>
      <c r="B511" s="19"/>
      <c r="C511" s="19"/>
      <c r="D511" s="19"/>
      <c r="E511" s="19"/>
      <c r="F511" s="19"/>
    </row>
    <row r="512" ht="15.75" customHeight="1">
      <c r="A512" s="19"/>
      <c r="B512" s="19"/>
      <c r="C512" s="19"/>
      <c r="D512" s="19"/>
      <c r="E512" s="19"/>
      <c r="F512" s="19"/>
    </row>
    <row r="513" ht="15.75" customHeight="1">
      <c r="A513" s="19"/>
      <c r="B513" s="19"/>
      <c r="C513" s="19"/>
      <c r="D513" s="19"/>
      <c r="E513" s="19"/>
      <c r="F513" s="19"/>
    </row>
    <row r="514" ht="15.75" customHeight="1">
      <c r="A514" s="19"/>
      <c r="B514" s="19"/>
      <c r="C514" s="19"/>
      <c r="D514" s="19"/>
      <c r="E514" s="19"/>
      <c r="F514" s="19"/>
    </row>
    <row r="515" ht="15.75" customHeight="1">
      <c r="A515" s="19"/>
      <c r="B515" s="19"/>
      <c r="C515" s="19"/>
      <c r="D515" s="19"/>
      <c r="E515" s="19"/>
      <c r="F515" s="19"/>
    </row>
    <row r="516" ht="15.75" customHeight="1">
      <c r="A516" s="19"/>
      <c r="B516" s="19"/>
      <c r="C516" s="19"/>
      <c r="D516" s="19"/>
      <c r="E516" s="19"/>
      <c r="F516" s="19"/>
    </row>
    <row r="517" ht="15.75" customHeight="1">
      <c r="A517" s="19"/>
      <c r="B517" s="19"/>
      <c r="C517" s="19"/>
      <c r="D517" s="19"/>
      <c r="E517" s="19"/>
      <c r="F517" s="19"/>
    </row>
    <row r="518" ht="15.75" customHeight="1">
      <c r="A518" s="19"/>
      <c r="B518" s="19"/>
      <c r="C518" s="19"/>
      <c r="D518" s="19"/>
      <c r="E518" s="19"/>
      <c r="F518" s="19"/>
    </row>
    <row r="519" ht="15.75" customHeight="1">
      <c r="A519" s="19"/>
      <c r="B519" s="19"/>
      <c r="C519" s="19"/>
      <c r="D519" s="19"/>
      <c r="E519" s="19"/>
      <c r="F519" s="19"/>
    </row>
    <row r="520" ht="15.75" customHeight="1">
      <c r="A520" s="19"/>
      <c r="B520" s="19"/>
      <c r="C520" s="19"/>
      <c r="D520" s="19"/>
      <c r="E520" s="19"/>
      <c r="F520" s="19"/>
    </row>
    <row r="521" ht="15.75" customHeight="1">
      <c r="A521" s="19"/>
      <c r="B521" s="19"/>
      <c r="C521" s="19"/>
      <c r="D521" s="19"/>
      <c r="E521" s="19"/>
      <c r="F521" s="19"/>
    </row>
    <row r="522" ht="15.75" customHeight="1">
      <c r="A522" s="19"/>
      <c r="B522" s="19"/>
      <c r="C522" s="19"/>
      <c r="D522" s="19"/>
      <c r="E522" s="19"/>
      <c r="F522" s="19"/>
    </row>
    <row r="523" ht="15.75" customHeight="1">
      <c r="A523" s="19"/>
      <c r="B523" s="19"/>
      <c r="C523" s="19"/>
      <c r="D523" s="19"/>
      <c r="E523" s="19"/>
      <c r="F523" s="19"/>
    </row>
    <row r="524" ht="15.75" customHeight="1">
      <c r="A524" s="19"/>
      <c r="B524" s="19"/>
      <c r="C524" s="19"/>
      <c r="D524" s="19"/>
      <c r="E524" s="19"/>
      <c r="F524" s="19"/>
    </row>
    <row r="525" ht="15.75" customHeight="1">
      <c r="A525" s="19"/>
      <c r="B525" s="19"/>
      <c r="C525" s="19"/>
      <c r="D525" s="19"/>
      <c r="E525" s="19"/>
      <c r="F525" s="19"/>
    </row>
    <row r="526" ht="15.75" customHeight="1">
      <c r="A526" s="19"/>
      <c r="B526" s="19"/>
      <c r="C526" s="19"/>
      <c r="D526" s="19"/>
      <c r="E526" s="19"/>
      <c r="F526" s="19"/>
    </row>
    <row r="527" ht="15.75" customHeight="1">
      <c r="A527" s="19"/>
      <c r="B527" s="19"/>
      <c r="C527" s="19"/>
      <c r="D527" s="19"/>
      <c r="E527" s="19"/>
      <c r="F527" s="19"/>
    </row>
    <row r="528" ht="15.75" customHeight="1">
      <c r="A528" s="19"/>
      <c r="B528" s="19"/>
      <c r="C528" s="19"/>
      <c r="D528" s="19"/>
      <c r="E528" s="19"/>
      <c r="F528" s="19"/>
    </row>
    <row r="529" ht="15.75" customHeight="1">
      <c r="A529" s="19"/>
      <c r="B529" s="19"/>
      <c r="C529" s="19"/>
      <c r="D529" s="19"/>
      <c r="E529" s="19"/>
      <c r="F529" s="19"/>
    </row>
    <row r="530" ht="15.75" customHeight="1">
      <c r="A530" s="19"/>
      <c r="B530" s="19"/>
      <c r="C530" s="19"/>
      <c r="D530" s="19"/>
      <c r="E530" s="19"/>
      <c r="F530" s="19"/>
    </row>
    <row r="531" ht="15.75" customHeight="1">
      <c r="A531" s="19"/>
      <c r="B531" s="19"/>
      <c r="C531" s="19"/>
      <c r="D531" s="19"/>
      <c r="E531" s="19"/>
      <c r="F531" s="19"/>
    </row>
    <row r="532" ht="15.75" customHeight="1">
      <c r="A532" s="19"/>
      <c r="B532" s="19"/>
      <c r="C532" s="19"/>
      <c r="D532" s="19"/>
      <c r="E532" s="19"/>
      <c r="F532" s="19"/>
    </row>
    <row r="533" ht="15.75" customHeight="1">
      <c r="A533" s="19"/>
      <c r="B533" s="19"/>
      <c r="C533" s="19"/>
      <c r="D533" s="19"/>
      <c r="E533" s="19"/>
      <c r="F533" s="19"/>
    </row>
    <row r="534" ht="15.75" customHeight="1">
      <c r="A534" s="19"/>
      <c r="B534" s="19"/>
      <c r="C534" s="19"/>
      <c r="D534" s="19"/>
      <c r="E534" s="19"/>
      <c r="F534" s="19"/>
    </row>
    <row r="535" ht="15.75" customHeight="1">
      <c r="A535" s="19"/>
      <c r="B535" s="19"/>
      <c r="C535" s="19"/>
      <c r="D535" s="19"/>
      <c r="E535" s="19"/>
      <c r="F535" s="19"/>
    </row>
    <row r="536" ht="15.75" customHeight="1">
      <c r="A536" s="19"/>
      <c r="B536" s="19"/>
      <c r="C536" s="19"/>
      <c r="D536" s="19"/>
      <c r="E536" s="19"/>
      <c r="F536" s="19"/>
    </row>
    <row r="537" ht="15.75" customHeight="1">
      <c r="A537" s="19"/>
      <c r="B537" s="19"/>
      <c r="C537" s="19"/>
      <c r="D537" s="19"/>
      <c r="E537" s="19"/>
      <c r="F537" s="19"/>
    </row>
    <row r="538" ht="15.75" customHeight="1">
      <c r="A538" s="19"/>
      <c r="B538" s="19"/>
      <c r="C538" s="19"/>
      <c r="D538" s="19"/>
      <c r="E538" s="19"/>
      <c r="F538" s="19"/>
    </row>
    <row r="539" ht="15.75" customHeight="1">
      <c r="A539" s="19"/>
      <c r="B539" s="19"/>
      <c r="C539" s="19"/>
      <c r="D539" s="19"/>
      <c r="E539" s="19"/>
      <c r="F539" s="19"/>
    </row>
    <row r="540" ht="15.75" customHeight="1">
      <c r="A540" s="19"/>
      <c r="B540" s="19"/>
      <c r="C540" s="19"/>
      <c r="D540" s="19"/>
      <c r="E540" s="19"/>
      <c r="F540" s="19"/>
    </row>
    <row r="541" ht="15.75" customHeight="1">
      <c r="A541" s="19"/>
      <c r="B541" s="19"/>
      <c r="C541" s="19"/>
      <c r="D541" s="19"/>
      <c r="E541" s="19"/>
      <c r="F541" s="19"/>
    </row>
    <row r="542" ht="15.75" customHeight="1">
      <c r="A542" s="19"/>
      <c r="B542" s="19"/>
      <c r="C542" s="19"/>
      <c r="D542" s="19"/>
      <c r="E542" s="19"/>
      <c r="F542" s="19"/>
    </row>
    <row r="543" ht="15.75" customHeight="1">
      <c r="A543" s="19"/>
      <c r="B543" s="19"/>
      <c r="C543" s="19"/>
      <c r="D543" s="19"/>
      <c r="E543" s="19"/>
      <c r="F543" s="19"/>
    </row>
    <row r="544" ht="15.75" customHeight="1">
      <c r="A544" s="19"/>
      <c r="B544" s="19"/>
      <c r="C544" s="19"/>
      <c r="D544" s="19"/>
      <c r="E544" s="19"/>
      <c r="F544" s="19"/>
    </row>
    <row r="545" ht="15.75" customHeight="1">
      <c r="A545" s="19"/>
      <c r="B545" s="19"/>
      <c r="C545" s="19"/>
      <c r="D545" s="19"/>
      <c r="E545" s="19"/>
      <c r="F545" s="19"/>
    </row>
    <row r="546" ht="15.75" customHeight="1">
      <c r="A546" s="19"/>
      <c r="B546" s="19"/>
      <c r="C546" s="19"/>
      <c r="D546" s="19"/>
      <c r="E546" s="19"/>
      <c r="F546" s="19"/>
    </row>
    <row r="547" ht="15.75" customHeight="1">
      <c r="A547" s="19"/>
      <c r="B547" s="19"/>
      <c r="C547" s="19"/>
      <c r="D547" s="19"/>
      <c r="E547" s="19"/>
      <c r="F547" s="19"/>
    </row>
    <row r="548" ht="15.75" customHeight="1">
      <c r="A548" s="19"/>
      <c r="B548" s="19"/>
      <c r="C548" s="19"/>
      <c r="D548" s="19"/>
      <c r="E548" s="19"/>
      <c r="F548" s="19"/>
    </row>
    <row r="549" ht="15.75" customHeight="1">
      <c r="A549" s="19"/>
      <c r="B549" s="19"/>
      <c r="C549" s="19"/>
      <c r="D549" s="19"/>
      <c r="E549" s="19"/>
      <c r="F549" s="19"/>
    </row>
    <row r="550" ht="15.75" customHeight="1">
      <c r="A550" s="19"/>
      <c r="B550" s="19"/>
      <c r="C550" s="19"/>
      <c r="D550" s="19"/>
      <c r="E550" s="19"/>
      <c r="F550" s="19"/>
    </row>
    <row r="551" ht="15.75" customHeight="1">
      <c r="A551" s="19"/>
      <c r="B551" s="19"/>
      <c r="C551" s="19"/>
      <c r="D551" s="19"/>
      <c r="E551" s="19"/>
      <c r="F551" s="19"/>
    </row>
    <row r="552" ht="15.75" customHeight="1">
      <c r="A552" s="19"/>
      <c r="B552" s="19"/>
      <c r="C552" s="19"/>
      <c r="D552" s="19"/>
      <c r="E552" s="19"/>
      <c r="F552" s="19"/>
    </row>
    <row r="553" ht="15.75" customHeight="1">
      <c r="A553" s="19"/>
      <c r="B553" s="19"/>
      <c r="C553" s="19"/>
      <c r="D553" s="19"/>
      <c r="E553" s="19"/>
      <c r="F553" s="19"/>
    </row>
    <row r="554" ht="15.75" customHeight="1">
      <c r="A554" s="19"/>
      <c r="B554" s="19"/>
      <c r="C554" s="19"/>
      <c r="D554" s="19"/>
      <c r="E554" s="19"/>
      <c r="F554" s="19"/>
    </row>
    <row r="555" ht="15.75" customHeight="1">
      <c r="A555" s="19"/>
      <c r="B555" s="19"/>
      <c r="C555" s="19"/>
      <c r="D555" s="19"/>
      <c r="E555" s="19"/>
      <c r="F555" s="19"/>
    </row>
    <row r="556" ht="15.75" customHeight="1">
      <c r="A556" s="19"/>
      <c r="B556" s="19"/>
      <c r="C556" s="19"/>
      <c r="D556" s="19"/>
      <c r="E556" s="19"/>
      <c r="F556" s="19"/>
    </row>
    <row r="557" ht="15.75" customHeight="1">
      <c r="A557" s="19"/>
      <c r="B557" s="19"/>
      <c r="C557" s="19"/>
      <c r="D557" s="19"/>
      <c r="E557" s="19"/>
      <c r="F557" s="19"/>
    </row>
    <row r="558" ht="15.75" customHeight="1">
      <c r="A558" s="19"/>
      <c r="B558" s="19"/>
      <c r="C558" s="19"/>
      <c r="D558" s="19"/>
      <c r="E558" s="19"/>
      <c r="F558" s="19"/>
    </row>
    <row r="559" ht="15.75" customHeight="1">
      <c r="A559" s="19"/>
      <c r="B559" s="19"/>
      <c r="C559" s="19"/>
      <c r="D559" s="19"/>
      <c r="E559" s="19"/>
      <c r="F559" s="19"/>
    </row>
    <row r="560" ht="15.75" customHeight="1">
      <c r="A560" s="19"/>
      <c r="B560" s="19"/>
      <c r="C560" s="19"/>
      <c r="D560" s="19"/>
      <c r="E560" s="19"/>
      <c r="F560" s="19"/>
    </row>
    <row r="561" ht="15.75" customHeight="1">
      <c r="A561" s="19"/>
      <c r="B561" s="19"/>
      <c r="C561" s="19"/>
      <c r="D561" s="19"/>
      <c r="E561" s="19"/>
      <c r="F561" s="19"/>
    </row>
    <row r="562" ht="15.75" customHeight="1">
      <c r="A562" s="19"/>
      <c r="B562" s="19"/>
      <c r="C562" s="19"/>
      <c r="D562" s="19"/>
      <c r="E562" s="19"/>
      <c r="F562" s="19"/>
    </row>
    <row r="563" ht="15.75" customHeight="1">
      <c r="A563" s="19"/>
      <c r="B563" s="19"/>
      <c r="C563" s="19"/>
      <c r="D563" s="19"/>
      <c r="E563" s="19"/>
      <c r="F563" s="19"/>
    </row>
    <row r="564" ht="15.75" customHeight="1">
      <c r="A564" s="19"/>
      <c r="B564" s="19"/>
      <c r="C564" s="19"/>
      <c r="D564" s="19"/>
      <c r="E564" s="19"/>
      <c r="F564" s="19"/>
    </row>
    <row r="565" ht="15.75" customHeight="1">
      <c r="A565" s="19"/>
      <c r="B565" s="19"/>
      <c r="C565" s="19"/>
      <c r="D565" s="19"/>
      <c r="E565" s="19"/>
      <c r="F565" s="19"/>
    </row>
    <row r="566" ht="15.75" customHeight="1">
      <c r="A566" s="19"/>
      <c r="B566" s="19"/>
      <c r="C566" s="19"/>
      <c r="D566" s="19"/>
      <c r="E566" s="19"/>
      <c r="F566" s="19"/>
    </row>
    <row r="567" ht="15.75" customHeight="1">
      <c r="A567" s="19"/>
      <c r="B567" s="19"/>
      <c r="C567" s="19"/>
      <c r="D567" s="19"/>
      <c r="E567" s="19"/>
      <c r="F567" s="19"/>
    </row>
    <row r="568" ht="15.75" customHeight="1">
      <c r="A568" s="19"/>
      <c r="B568" s="19"/>
      <c r="C568" s="19"/>
      <c r="D568" s="19"/>
      <c r="E568" s="19"/>
      <c r="F568" s="19"/>
    </row>
    <row r="569" ht="15.75" customHeight="1">
      <c r="A569" s="19"/>
      <c r="B569" s="19"/>
      <c r="C569" s="19"/>
      <c r="D569" s="19"/>
      <c r="E569" s="19"/>
      <c r="F569" s="19"/>
    </row>
    <row r="570" ht="15.75" customHeight="1">
      <c r="A570" s="19"/>
      <c r="B570" s="19"/>
      <c r="C570" s="19"/>
      <c r="D570" s="19"/>
      <c r="E570" s="19"/>
      <c r="F570" s="19"/>
    </row>
    <row r="571" ht="15.75" customHeight="1">
      <c r="A571" s="19"/>
      <c r="B571" s="19"/>
      <c r="C571" s="19"/>
      <c r="D571" s="19"/>
      <c r="E571" s="19"/>
      <c r="F571" s="19"/>
    </row>
    <row r="572" ht="15.75" customHeight="1">
      <c r="A572" s="19"/>
      <c r="B572" s="19"/>
      <c r="C572" s="19"/>
      <c r="D572" s="19"/>
      <c r="E572" s="19"/>
      <c r="F572" s="19"/>
    </row>
    <row r="573" ht="15.75" customHeight="1">
      <c r="A573" s="19"/>
      <c r="B573" s="19"/>
      <c r="C573" s="19"/>
      <c r="D573" s="19"/>
      <c r="E573" s="19"/>
      <c r="F573" s="19"/>
    </row>
    <row r="574" ht="15.75" customHeight="1">
      <c r="A574" s="19"/>
      <c r="B574" s="19"/>
      <c r="C574" s="19"/>
      <c r="D574" s="19"/>
      <c r="E574" s="19"/>
      <c r="F574" s="19"/>
    </row>
    <row r="575" ht="15.75" customHeight="1">
      <c r="A575" s="19"/>
      <c r="B575" s="19"/>
      <c r="C575" s="19"/>
      <c r="D575" s="19"/>
      <c r="E575" s="19"/>
      <c r="F575" s="19"/>
    </row>
    <row r="576" ht="15.75" customHeight="1">
      <c r="A576" s="19"/>
      <c r="B576" s="19"/>
      <c r="C576" s="19"/>
      <c r="D576" s="19"/>
      <c r="E576" s="19"/>
      <c r="F576" s="19"/>
    </row>
    <row r="577" ht="15.75" customHeight="1">
      <c r="A577" s="19"/>
      <c r="B577" s="19"/>
      <c r="C577" s="19"/>
      <c r="D577" s="19"/>
      <c r="E577" s="19"/>
      <c r="F577" s="19"/>
    </row>
    <row r="578" ht="15.75" customHeight="1">
      <c r="A578" s="19"/>
      <c r="B578" s="19"/>
      <c r="C578" s="19"/>
      <c r="D578" s="19"/>
      <c r="E578" s="19"/>
      <c r="F578" s="19"/>
    </row>
    <row r="579" ht="15.75" customHeight="1">
      <c r="A579" s="19"/>
      <c r="B579" s="19"/>
      <c r="C579" s="19"/>
      <c r="D579" s="19"/>
      <c r="E579" s="19"/>
      <c r="F579" s="19"/>
    </row>
    <row r="580" ht="15.75" customHeight="1">
      <c r="A580" s="19"/>
      <c r="B580" s="19"/>
      <c r="C580" s="19"/>
      <c r="D580" s="19"/>
      <c r="E580" s="19"/>
      <c r="F580" s="19"/>
    </row>
    <row r="581" ht="15.75" customHeight="1">
      <c r="A581" s="19"/>
      <c r="B581" s="19"/>
      <c r="C581" s="19"/>
      <c r="D581" s="19"/>
      <c r="E581" s="19"/>
      <c r="F581" s="19"/>
    </row>
    <row r="582" ht="15.75" customHeight="1">
      <c r="A582" s="19"/>
      <c r="B582" s="19"/>
      <c r="C582" s="19"/>
      <c r="D582" s="19"/>
      <c r="E582" s="19"/>
      <c r="F582" s="19"/>
    </row>
    <row r="583" ht="15.75" customHeight="1">
      <c r="A583" s="19"/>
      <c r="B583" s="19"/>
      <c r="C583" s="19"/>
      <c r="D583" s="19"/>
      <c r="E583" s="19"/>
      <c r="F583" s="19"/>
    </row>
    <row r="584" ht="15.75" customHeight="1">
      <c r="A584" s="19"/>
      <c r="B584" s="19"/>
      <c r="C584" s="19"/>
      <c r="D584" s="19"/>
      <c r="E584" s="19"/>
      <c r="F584" s="19"/>
    </row>
    <row r="585" ht="15.75" customHeight="1">
      <c r="A585" s="19"/>
      <c r="B585" s="19"/>
      <c r="C585" s="19"/>
      <c r="D585" s="19"/>
      <c r="E585" s="19"/>
      <c r="F585" s="19"/>
    </row>
    <row r="586" ht="15.75" customHeight="1">
      <c r="A586" s="19"/>
      <c r="B586" s="19"/>
      <c r="C586" s="19"/>
      <c r="D586" s="19"/>
      <c r="E586" s="19"/>
      <c r="F586" s="19"/>
    </row>
    <row r="587" ht="15.75" customHeight="1">
      <c r="A587" s="19"/>
      <c r="B587" s="19"/>
      <c r="C587" s="19"/>
      <c r="D587" s="19"/>
      <c r="E587" s="19"/>
      <c r="F587" s="19"/>
    </row>
    <row r="588" ht="15.75" customHeight="1">
      <c r="A588" s="19"/>
      <c r="B588" s="19"/>
      <c r="C588" s="19"/>
      <c r="D588" s="19"/>
      <c r="E588" s="19"/>
      <c r="F588" s="19"/>
    </row>
    <row r="589" ht="15.75" customHeight="1">
      <c r="A589" s="19"/>
      <c r="B589" s="19"/>
      <c r="C589" s="19"/>
      <c r="D589" s="19"/>
      <c r="E589" s="19"/>
      <c r="F589" s="19"/>
    </row>
    <row r="590" ht="15.75" customHeight="1">
      <c r="A590" s="19"/>
      <c r="B590" s="19"/>
      <c r="C590" s="19"/>
      <c r="D590" s="19"/>
      <c r="E590" s="19"/>
      <c r="F590" s="19"/>
    </row>
    <row r="591" ht="15.75" customHeight="1">
      <c r="A591" s="19"/>
      <c r="B591" s="19"/>
      <c r="C591" s="19"/>
      <c r="D591" s="19"/>
      <c r="E591" s="19"/>
      <c r="F591" s="19"/>
    </row>
    <row r="592" ht="15.75" customHeight="1">
      <c r="A592" s="19"/>
      <c r="B592" s="19"/>
      <c r="C592" s="19"/>
      <c r="D592" s="19"/>
      <c r="E592" s="19"/>
      <c r="F592" s="19"/>
    </row>
    <row r="593" ht="15.75" customHeight="1">
      <c r="A593" s="19"/>
      <c r="B593" s="19"/>
      <c r="C593" s="19"/>
      <c r="D593" s="19"/>
      <c r="E593" s="19"/>
      <c r="F593" s="19"/>
    </row>
    <row r="594" ht="15.75" customHeight="1">
      <c r="A594" s="19"/>
      <c r="B594" s="19"/>
      <c r="C594" s="19"/>
      <c r="D594" s="19"/>
      <c r="E594" s="19"/>
      <c r="F594" s="19"/>
    </row>
    <row r="595" ht="15.75" customHeight="1">
      <c r="A595" s="19"/>
      <c r="B595" s="19"/>
      <c r="C595" s="19"/>
      <c r="D595" s="19"/>
      <c r="E595" s="19"/>
      <c r="F595" s="19"/>
    </row>
    <row r="596" ht="15.75" customHeight="1">
      <c r="A596" s="19"/>
      <c r="B596" s="19"/>
      <c r="C596" s="19"/>
      <c r="D596" s="19"/>
      <c r="E596" s="19"/>
      <c r="F596" s="19"/>
    </row>
    <row r="597" ht="15.75" customHeight="1">
      <c r="A597" s="19"/>
      <c r="B597" s="19"/>
      <c r="C597" s="19"/>
      <c r="D597" s="19"/>
      <c r="E597" s="19"/>
      <c r="F597" s="19"/>
    </row>
    <row r="598" ht="15.75" customHeight="1">
      <c r="A598" s="19"/>
      <c r="B598" s="19"/>
      <c r="C598" s="19"/>
      <c r="D598" s="19"/>
      <c r="E598" s="19"/>
      <c r="F598" s="19"/>
    </row>
    <row r="599" ht="15.75" customHeight="1">
      <c r="A599" s="19"/>
      <c r="B599" s="19"/>
      <c r="C599" s="19"/>
      <c r="D599" s="19"/>
      <c r="E599" s="19"/>
      <c r="F599" s="19"/>
    </row>
    <row r="600" ht="15.75" customHeight="1">
      <c r="A600" s="19"/>
      <c r="B600" s="19"/>
      <c r="C600" s="19"/>
      <c r="D600" s="19"/>
      <c r="E600" s="19"/>
      <c r="F600" s="19"/>
    </row>
    <row r="601" ht="15.75" customHeight="1">
      <c r="A601" s="19"/>
      <c r="B601" s="19"/>
      <c r="C601" s="19"/>
      <c r="D601" s="19"/>
      <c r="E601" s="19"/>
      <c r="F601" s="19"/>
    </row>
    <row r="602" ht="15.75" customHeight="1">
      <c r="A602" s="19"/>
      <c r="B602" s="19"/>
      <c r="C602" s="19"/>
      <c r="D602" s="19"/>
      <c r="E602" s="19"/>
      <c r="F602" s="19"/>
    </row>
    <row r="603" ht="15.75" customHeight="1">
      <c r="A603" s="19"/>
      <c r="B603" s="19"/>
      <c r="C603" s="19"/>
      <c r="D603" s="19"/>
      <c r="E603" s="19"/>
      <c r="F603" s="19"/>
    </row>
    <row r="604" ht="15.75" customHeight="1">
      <c r="A604" s="19"/>
      <c r="B604" s="19"/>
      <c r="C604" s="19"/>
      <c r="D604" s="19"/>
      <c r="E604" s="19"/>
      <c r="F604" s="19"/>
    </row>
    <row r="605" ht="15.75" customHeight="1">
      <c r="A605" s="19"/>
      <c r="B605" s="19"/>
      <c r="C605" s="19"/>
      <c r="D605" s="19"/>
      <c r="E605" s="19"/>
      <c r="F605" s="19"/>
    </row>
    <row r="606" ht="15.75" customHeight="1">
      <c r="A606" s="19"/>
      <c r="B606" s="19"/>
      <c r="C606" s="19"/>
      <c r="D606" s="19"/>
      <c r="E606" s="19"/>
      <c r="F606" s="19"/>
    </row>
    <row r="607" ht="15.75" customHeight="1">
      <c r="A607" s="19"/>
      <c r="B607" s="19"/>
      <c r="C607" s="19"/>
      <c r="D607" s="19"/>
      <c r="E607" s="19"/>
      <c r="F607" s="19"/>
    </row>
    <row r="608" ht="15.75" customHeight="1">
      <c r="A608" s="19"/>
      <c r="B608" s="19"/>
      <c r="C608" s="19"/>
      <c r="D608" s="19"/>
      <c r="E608" s="19"/>
      <c r="F608" s="19"/>
    </row>
    <row r="609" ht="15.75" customHeight="1">
      <c r="A609" s="19"/>
      <c r="B609" s="19"/>
      <c r="C609" s="19"/>
      <c r="D609" s="19"/>
      <c r="E609" s="19"/>
      <c r="F609" s="19"/>
    </row>
    <row r="610" ht="15.75" customHeight="1">
      <c r="A610" s="19"/>
      <c r="B610" s="19"/>
      <c r="C610" s="19"/>
      <c r="D610" s="19"/>
      <c r="E610" s="19"/>
      <c r="F610" s="19"/>
    </row>
    <row r="611" ht="15.75" customHeight="1">
      <c r="A611" s="19"/>
      <c r="B611" s="19"/>
      <c r="C611" s="19"/>
      <c r="D611" s="19"/>
      <c r="E611" s="19"/>
      <c r="F611" s="19"/>
    </row>
    <row r="612" ht="15.75" customHeight="1">
      <c r="A612" s="19"/>
      <c r="B612" s="19"/>
      <c r="C612" s="19"/>
      <c r="D612" s="19"/>
      <c r="E612" s="19"/>
      <c r="F612" s="19"/>
    </row>
    <row r="613" ht="15.75" customHeight="1">
      <c r="A613" s="19"/>
      <c r="B613" s="19"/>
      <c r="C613" s="19"/>
      <c r="D613" s="19"/>
      <c r="E613" s="19"/>
      <c r="F613" s="19"/>
    </row>
    <row r="614" ht="15.75" customHeight="1">
      <c r="A614" s="19"/>
      <c r="B614" s="19"/>
      <c r="C614" s="19"/>
      <c r="D614" s="19"/>
      <c r="E614" s="19"/>
      <c r="F614" s="19"/>
    </row>
    <row r="615" ht="15.75" customHeight="1">
      <c r="A615" s="19"/>
      <c r="B615" s="19"/>
      <c r="C615" s="19"/>
      <c r="D615" s="19"/>
      <c r="E615" s="19"/>
      <c r="F615" s="19"/>
    </row>
    <row r="616" ht="15.75" customHeight="1">
      <c r="A616" s="19"/>
      <c r="B616" s="19"/>
      <c r="C616" s="19"/>
      <c r="D616" s="19"/>
      <c r="E616" s="19"/>
      <c r="F616" s="19"/>
    </row>
    <row r="617" ht="15.75" customHeight="1">
      <c r="A617" s="19"/>
      <c r="B617" s="19"/>
      <c r="C617" s="19"/>
      <c r="D617" s="19"/>
      <c r="E617" s="19"/>
      <c r="F617" s="19"/>
    </row>
    <row r="618" ht="15.75" customHeight="1">
      <c r="A618" s="19"/>
      <c r="B618" s="19"/>
      <c r="C618" s="19"/>
      <c r="D618" s="19"/>
      <c r="E618" s="19"/>
      <c r="F618" s="19"/>
    </row>
    <row r="619" ht="15.75" customHeight="1">
      <c r="A619" s="19"/>
      <c r="B619" s="19"/>
      <c r="C619" s="19"/>
      <c r="D619" s="19"/>
      <c r="E619" s="19"/>
      <c r="F619" s="19"/>
    </row>
    <row r="620" ht="15.75" customHeight="1">
      <c r="A620" s="19"/>
      <c r="B620" s="19"/>
      <c r="C620" s="19"/>
      <c r="D620" s="19"/>
      <c r="E620" s="19"/>
      <c r="F620" s="19"/>
    </row>
    <row r="621" ht="15.75" customHeight="1">
      <c r="A621" s="19"/>
      <c r="B621" s="19"/>
      <c r="C621" s="19"/>
      <c r="D621" s="19"/>
      <c r="E621" s="19"/>
      <c r="F621" s="19"/>
    </row>
    <row r="622" ht="15.75" customHeight="1">
      <c r="A622" s="19"/>
      <c r="B622" s="19"/>
      <c r="C622" s="19"/>
      <c r="D622" s="19"/>
      <c r="E622" s="19"/>
      <c r="F622" s="19"/>
    </row>
    <row r="623" ht="15.75" customHeight="1">
      <c r="A623" s="19"/>
      <c r="B623" s="19"/>
      <c r="C623" s="19"/>
      <c r="D623" s="19"/>
      <c r="E623" s="19"/>
      <c r="F623" s="19"/>
    </row>
    <row r="624" ht="15.75" customHeight="1">
      <c r="A624" s="19"/>
      <c r="B624" s="19"/>
      <c r="C624" s="19"/>
      <c r="D624" s="19"/>
      <c r="E624" s="19"/>
      <c r="F624" s="19"/>
    </row>
    <row r="625" ht="15.75" customHeight="1">
      <c r="A625" s="19"/>
      <c r="B625" s="19"/>
      <c r="C625" s="19"/>
      <c r="D625" s="19"/>
      <c r="E625" s="19"/>
      <c r="F625" s="19"/>
    </row>
    <row r="626" ht="15.75" customHeight="1">
      <c r="A626" s="19"/>
      <c r="B626" s="19"/>
      <c r="C626" s="19"/>
      <c r="D626" s="19"/>
      <c r="E626" s="19"/>
      <c r="F626" s="19"/>
    </row>
    <row r="627" ht="15.75" customHeight="1">
      <c r="A627" s="19"/>
      <c r="B627" s="19"/>
      <c r="C627" s="19"/>
      <c r="D627" s="19"/>
      <c r="E627" s="19"/>
      <c r="F627" s="19"/>
    </row>
    <row r="628" ht="15.75" customHeight="1">
      <c r="A628" s="19"/>
      <c r="B628" s="19"/>
      <c r="C628" s="19"/>
      <c r="D628" s="19"/>
      <c r="E628" s="19"/>
      <c r="F628" s="19"/>
    </row>
    <row r="629" ht="15.75" customHeight="1">
      <c r="A629" s="19"/>
      <c r="B629" s="19"/>
      <c r="C629" s="19"/>
      <c r="D629" s="19"/>
      <c r="E629" s="19"/>
      <c r="F629" s="19"/>
    </row>
    <row r="630" ht="15.75" customHeight="1">
      <c r="A630" s="19"/>
      <c r="B630" s="19"/>
      <c r="C630" s="19"/>
      <c r="D630" s="19"/>
      <c r="E630" s="19"/>
      <c r="F630" s="19"/>
    </row>
    <row r="631" ht="15.75" customHeight="1">
      <c r="A631" s="19"/>
      <c r="B631" s="19"/>
      <c r="C631" s="19"/>
      <c r="D631" s="19"/>
      <c r="E631" s="19"/>
      <c r="F631" s="19"/>
    </row>
    <row r="632" ht="15.75" customHeight="1">
      <c r="A632" s="19"/>
      <c r="B632" s="19"/>
      <c r="C632" s="19"/>
      <c r="D632" s="19"/>
      <c r="E632" s="19"/>
      <c r="F632" s="19"/>
    </row>
    <row r="633" ht="15.75" customHeight="1">
      <c r="A633" s="19"/>
      <c r="B633" s="19"/>
      <c r="C633" s="19"/>
      <c r="D633" s="19"/>
      <c r="E633" s="19"/>
      <c r="F633" s="19"/>
    </row>
    <row r="634" ht="15.75" customHeight="1">
      <c r="A634" s="19"/>
      <c r="B634" s="19"/>
      <c r="C634" s="19"/>
      <c r="D634" s="19"/>
      <c r="E634" s="19"/>
      <c r="F634" s="19"/>
    </row>
    <row r="635" ht="15.75" customHeight="1">
      <c r="A635" s="19"/>
      <c r="B635" s="19"/>
      <c r="C635" s="19"/>
      <c r="D635" s="19"/>
      <c r="E635" s="19"/>
      <c r="F635" s="19"/>
    </row>
    <row r="636" ht="15.75" customHeight="1">
      <c r="A636" s="19"/>
      <c r="B636" s="19"/>
      <c r="C636" s="19"/>
      <c r="D636" s="19"/>
      <c r="E636" s="19"/>
      <c r="F636" s="19"/>
    </row>
    <row r="637" ht="15.75" customHeight="1">
      <c r="A637" s="19"/>
      <c r="B637" s="19"/>
      <c r="C637" s="19"/>
      <c r="D637" s="19"/>
      <c r="E637" s="19"/>
      <c r="F637" s="19"/>
    </row>
    <row r="638" ht="15.75" customHeight="1">
      <c r="A638" s="19"/>
      <c r="B638" s="19"/>
      <c r="C638" s="19"/>
      <c r="D638" s="19"/>
      <c r="E638" s="19"/>
      <c r="F638" s="19"/>
    </row>
    <row r="639" ht="15.75" customHeight="1">
      <c r="A639" s="19"/>
      <c r="B639" s="19"/>
      <c r="C639" s="19"/>
      <c r="D639" s="19"/>
      <c r="E639" s="19"/>
      <c r="F639" s="19"/>
    </row>
    <row r="640" ht="15.75" customHeight="1">
      <c r="A640" s="19"/>
      <c r="B640" s="19"/>
      <c r="C640" s="19"/>
      <c r="D640" s="19"/>
      <c r="E640" s="19"/>
      <c r="F640" s="19"/>
    </row>
    <row r="641" ht="15.75" customHeight="1">
      <c r="A641" s="19"/>
      <c r="B641" s="19"/>
      <c r="C641" s="19"/>
      <c r="D641" s="19"/>
      <c r="E641" s="19"/>
      <c r="F641" s="19"/>
    </row>
    <row r="642" ht="15.75" customHeight="1">
      <c r="A642" s="19"/>
      <c r="B642" s="19"/>
      <c r="C642" s="19"/>
      <c r="D642" s="19"/>
      <c r="E642" s="19"/>
      <c r="F642" s="19"/>
    </row>
    <row r="643" ht="15.75" customHeight="1">
      <c r="A643" s="19"/>
      <c r="B643" s="19"/>
      <c r="C643" s="19"/>
      <c r="D643" s="19"/>
      <c r="E643" s="19"/>
      <c r="F643" s="19"/>
    </row>
    <row r="644" ht="15.75" customHeight="1">
      <c r="A644" s="19"/>
      <c r="B644" s="19"/>
      <c r="C644" s="19"/>
      <c r="D644" s="19"/>
      <c r="E644" s="19"/>
      <c r="F644" s="19"/>
    </row>
    <row r="645" ht="15.75" customHeight="1">
      <c r="A645" s="19"/>
      <c r="B645" s="19"/>
      <c r="C645" s="19"/>
      <c r="D645" s="19"/>
      <c r="E645" s="19"/>
      <c r="F645" s="19"/>
    </row>
    <row r="646" ht="15.75" customHeight="1">
      <c r="A646" s="19"/>
      <c r="B646" s="19"/>
      <c r="C646" s="19"/>
      <c r="D646" s="19"/>
      <c r="E646" s="19"/>
      <c r="F646" s="19"/>
    </row>
    <row r="647" ht="15.75" customHeight="1">
      <c r="A647" s="19"/>
      <c r="B647" s="19"/>
      <c r="C647" s="19"/>
      <c r="D647" s="19"/>
      <c r="E647" s="19"/>
      <c r="F647" s="19"/>
    </row>
    <row r="648" ht="15.75" customHeight="1">
      <c r="A648" s="19"/>
      <c r="B648" s="19"/>
      <c r="C648" s="19"/>
      <c r="D648" s="19"/>
      <c r="E648" s="19"/>
      <c r="F648" s="19"/>
    </row>
    <row r="649" ht="15.75" customHeight="1">
      <c r="A649" s="19"/>
      <c r="B649" s="19"/>
      <c r="C649" s="19"/>
      <c r="D649" s="19"/>
      <c r="E649" s="19"/>
      <c r="F649" s="19"/>
    </row>
    <row r="650" ht="15.75" customHeight="1">
      <c r="A650" s="19"/>
      <c r="B650" s="19"/>
      <c r="C650" s="19"/>
      <c r="D650" s="19"/>
      <c r="E650" s="19"/>
      <c r="F650" s="19"/>
    </row>
    <row r="651" ht="15.75" customHeight="1">
      <c r="A651" s="19"/>
      <c r="B651" s="19"/>
      <c r="C651" s="19"/>
      <c r="D651" s="19"/>
      <c r="E651" s="19"/>
      <c r="F651" s="19"/>
    </row>
    <row r="652" ht="15.75" customHeight="1">
      <c r="A652" s="19"/>
      <c r="B652" s="19"/>
      <c r="C652" s="19"/>
      <c r="D652" s="19"/>
      <c r="E652" s="19"/>
      <c r="F652" s="19"/>
    </row>
    <row r="653" ht="15.75" customHeight="1">
      <c r="A653" s="19"/>
      <c r="B653" s="19"/>
      <c r="C653" s="19"/>
      <c r="D653" s="19"/>
      <c r="E653" s="19"/>
      <c r="F653" s="19"/>
    </row>
    <row r="654" ht="15.75" customHeight="1">
      <c r="A654" s="19"/>
      <c r="B654" s="19"/>
      <c r="C654" s="19"/>
      <c r="D654" s="19"/>
      <c r="E654" s="19"/>
      <c r="F654" s="19"/>
    </row>
    <row r="655" ht="15.75" customHeight="1">
      <c r="A655" s="19"/>
      <c r="B655" s="19"/>
      <c r="C655" s="19"/>
      <c r="D655" s="19"/>
      <c r="E655" s="19"/>
      <c r="F655" s="19"/>
    </row>
    <row r="656" ht="15.75" customHeight="1">
      <c r="A656" s="19"/>
      <c r="B656" s="19"/>
      <c r="C656" s="19"/>
      <c r="D656" s="19"/>
      <c r="E656" s="19"/>
      <c r="F656" s="19"/>
    </row>
    <row r="657" ht="15.75" customHeight="1">
      <c r="A657" s="19"/>
      <c r="B657" s="19"/>
      <c r="C657" s="19"/>
      <c r="D657" s="19"/>
      <c r="E657" s="19"/>
      <c r="F657" s="19"/>
    </row>
    <row r="658" ht="15.75" customHeight="1">
      <c r="A658" s="19"/>
      <c r="B658" s="19"/>
      <c r="C658" s="19"/>
      <c r="D658" s="19"/>
      <c r="E658" s="19"/>
      <c r="F658" s="19"/>
    </row>
    <row r="659" ht="15.75" customHeight="1">
      <c r="A659" s="19"/>
      <c r="B659" s="19"/>
      <c r="C659" s="19"/>
      <c r="D659" s="19"/>
      <c r="E659" s="19"/>
      <c r="F659" s="19"/>
    </row>
    <row r="660" ht="15.75" customHeight="1">
      <c r="A660" s="19"/>
      <c r="B660" s="19"/>
      <c r="C660" s="19"/>
      <c r="D660" s="19"/>
      <c r="E660" s="19"/>
      <c r="F660" s="19"/>
    </row>
    <row r="661" ht="15.75" customHeight="1">
      <c r="A661" s="19"/>
      <c r="B661" s="19"/>
      <c r="C661" s="19"/>
      <c r="D661" s="19"/>
      <c r="E661" s="19"/>
      <c r="F661" s="19"/>
    </row>
    <row r="662" ht="15.75" customHeight="1">
      <c r="A662" s="19"/>
      <c r="B662" s="19"/>
      <c r="C662" s="19"/>
      <c r="D662" s="19"/>
      <c r="E662" s="19"/>
      <c r="F662" s="19"/>
    </row>
    <row r="663" ht="15.75" customHeight="1">
      <c r="A663" s="19"/>
      <c r="B663" s="19"/>
      <c r="C663" s="19"/>
      <c r="D663" s="19"/>
      <c r="E663" s="19"/>
      <c r="F663" s="19"/>
    </row>
    <row r="664" ht="15.75" customHeight="1">
      <c r="A664" s="19"/>
      <c r="B664" s="19"/>
      <c r="C664" s="19"/>
      <c r="D664" s="19"/>
      <c r="E664" s="19"/>
      <c r="F664" s="19"/>
    </row>
    <row r="665" ht="15.75" customHeight="1">
      <c r="A665" s="19"/>
      <c r="B665" s="19"/>
      <c r="C665" s="19"/>
      <c r="D665" s="19"/>
      <c r="E665" s="19"/>
      <c r="F665" s="19"/>
    </row>
    <row r="666" ht="15.75" customHeight="1">
      <c r="A666" s="19"/>
      <c r="B666" s="19"/>
      <c r="C666" s="19"/>
      <c r="D666" s="19"/>
      <c r="E666" s="19"/>
      <c r="F666" s="19"/>
    </row>
    <row r="667" ht="15.75" customHeight="1">
      <c r="A667" s="19"/>
      <c r="B667" s="19"/>
      <c r="C667" s="19"/>
      <c r="D667" s="19"/>
      <c r="E667" s="19"/>
      <c r="F667" s="19"/>
    </row>
    <row r="668" ht="15.75" customHeight="1">
      <c r="A668" s="19"/>
      <c r="B668" s="19"/>
      <c r="C668" s="19"/>
      <c r="D668" s="19"/>
      <c r="E668" s="19"/>
      <c r="F668" s="19"/>
    </row>
    <row r="669" ht="15.75" customHeight="1">
      <c r="A669" s="19"/>
      <c r="B669" s="19"/>
      <c r="C669" s="19"/>
      <c r="D669" s="19"/>
      <c r="E669" s="19"/>
      <c r="F669" s="19"/>
    </row>
    <row r="670" ht="15.75" customHeight="1">
      <c r="A670" s="19"/>
      <c r="B670" s="19"/>
      <c r="C670" s="19"/>
      <c r="D670" s="19"/>
      <c r="E670" s="19"/>
      <c r="F670" s="19"/>
    </row>
    <row r="671" ht="15.75" customHeight="1">
      <c r="A671" s="19"/>
      <c r="B671" s="19"/>
      <c r="C671" s="19"/>
      <c r="D671" s="19"/>
      <c r="E671" s="19"/>
      <c r="F671" s="19"/>
    </row>
    <row r="672" ht="15.75" customHeight="1">
      <c r="A672" s="19"/>
      <c r="B672" s="19"/>
      <c r="C672" s="19"/>
      <c r="D672" s="19"/>
      <c r="E672" s="19"/>
      <c r="F672" s="19"/>
    </row>
    <row r="673" ht="15.75" customHeight="1">
      <c r="A673" s="19"/>
      <c r="B673" s="19"/>
      <c r="C673" s="19"/>
      <c r="D673" s="19"/>
      <c r="E673" s="19"/>
      <c r="F673" s="19"/>
    </row>
    <row r="674" ht="15.75" customHeight="1">
      <c r="A674" s="19"/>
      <c r="B674" s="19"/>
      <c r="C674" s="19"/>
      <c r="D674" s="19"/>
      <c r="E674" s="19"/>
      <c r="F674" s="19"/>
    </row>
    <row r="675" ht="15.75" customHeight="1">
      <c r="A675" s="19"/>
      <c r="B675" s="19"/>
      <c r="C675" s="19"/>
      <c r="D675" s="19"/>
      <c r="E675" s="19"/>
      <c r="F675" s="19"/>
    </row>
    <row r="676" ht="15.75" customHeight="1">
      <c r="A676" s="19"/>
      <c r="B676" s="19"/>
      <c r="C676" s="19"/>
      <c r="D676" s="19"/>
      <c r="E676" s="19"/>
      <c r="F676" s="19"/>
    </row>
    <row r="677" ht="15.75" customHeight="1">
      <c r="A677" s="19"/>
      <c r="B677" s="19"/>
      <c r="C677" s="19"/>
      <c r="D677" s="19"/>
      <c r="E677" s="19"/>
      <c r="F677" s="19"/>
    </row>
    <row r="678" ht="15.75" customHeight="1">
      <c r="A678" s="19"/>
      <c r="B678" s="19"/>
      <c r="C678" s="19"/>
      <c r="D678" s="19"/>
      <c r="E678" s="19"/>
      <c r="F678" s="19"/>
    </row>
    <row r="679" ht="15.75" customHeight="1">
      <c r="A679" s="19"/>
      <c r="B679" s="19"/>
      <c r="C679" s="19"/>
      <c r="D679" s="19"/>
      <c r="E679" s="19"/>
      <c r="F679" s="19"/>
    </row>
    <row r="680" ht="15.75" customHeight="1">
      <c r="A680" s="19"/>
      <c r="B680" s="19"/>
      <c r="C680" s="19"/>
      <c r="D680" s="19"/>
      <c r="E680" s="19"/>
      <c r="F680" s="19"/>
    </row>
    <row r="681" ht="15.75" customHeight="1">
      <c r="A681" s="19"/>
      <c r="B681" s="19"/>
      <c r="C681" s="19"/>
      <c r="D681" s="19"/>
      <c r="E681" s="19"/>
      <c r="F681" s="19"/>
    </row>
    <row r="682" ht="15.75" customHeight="1">
      <c r="A682" s="19"/>
      <c r="B682" s="19"/>
      <c r="C682" s="19"/>
      <c r="D682" s="19"/>
      <c r="E682" s="19"/>
      <c r="F682" s="19"/>
    </row>
    <row r="683" ht="15.75" customHeight="1">
      <c r="A683" s="19"/>
      <c r="B683" s="19"/>
      <c r="C683" s="19"/>
      <c r="D683" s="19"/>
      <c r="E683" s="19"/>
      <c r="F683" s="19"/>
    </row>
    <row r="684" ht="15.75" customHeight="1">
      <c r="A684" s="19"/>
      <c r="B684" s="19"/>
      <c r="C684" s="19"/>
      <c r="D684" s="19"/>
      <c r="E684" s="19"/>
      <c r="F684" s="19"/>
    </row>
    <row r="685" ht="15.75" customHeight="1">
      <c r="A685" s="19"/>
      <c r="B685" s="19"/>
      <c r="C685" s="19"/>
      <c r="D685" s="19"/>
      <c r="E685" s="19"/>
      <c r="F685" s="19"/>
    </row>
    <row r="686" ht="15.75" customHeight="1">
      <c r="A686" s="19"/>
      <c r="B686" s="19"/>
      <c r="C686" s="19"/>
      <c r="D686" s="19"/>
      <c r="E686" s="19"/>
      <c r="F686" s="19"/>
    </row>
    <row r="687" ht="15.75" customHeight="1">
      <c r="A687" s="19"/>
      <c r="B687" s="19"/>
      <c r="C687" s="19"/>
      <c r="D687" s="19"/>
      <c r="E687" s="19"/>
      <c r="F687" s="19"/>
    </row>
    <row r="688" ht="15.75" customHeight="1">
      <c r="A688" s="19"/>
      <c r="B688" s="19"/>
      <c r="C688" s="19"/>
      <c r="D688" s="19"/>
      <c r="E688" s="19"/>
      <c r="F688" s="19"/>
    </row>
    <row r="689" ht="15.75" customHeight="1">
      <c r="A689" s="19"/>
      <c r="B689" s="19"/>
      <c r="C689" s="19"/>
      <c r="D689" s="19"/>
      <c r="E689" s="19"/>
      <c r="F689" s="19"/>
    </row>
    <row r="690" ht="15.75" customHeight="1">
      <c r="A690" s="19"/>
      <c r="B690" s="19"/>
      <c r="C690" s="19"/>
      <c r="D690" s="19"/>
      <c r="E690" s="19"/>
      <c r="F690" s="19"/>
    </row>
    <row r="691" ht="15.75" customHeight="1">
      <c r="A691" s="19"/>
      <c r="B691" s="19"/>
      <c r="C691" s="19"/>
      <c r="D691" s="19"/>
      <c r="E691" s="19"/>
      <c r="F691" s="19"/>
    </row>
    <row r="692" ht="15.75" customHeight="1">
      <c r="A692" s="19"/>
      <c r="B692" s="19"/>
      <c r="C692" s="19"/>
      <c r="D692" s="19"/>
      <c r="E692" s="19"/>
      <c r="F692" s="19"/>
    </row>
    <row r="693" ht="15.75" customHeight="1">
      <c r="A693" s="19"/>
      <c r="B693" s="19"/>
      <c r="C693" s="19"/>
      <c r="D693" s="19"/>
      <c r="E693" s="19"/>
      <c r="F693" s="19"/>
    </row>
    <row r="694" ht="15.75" customHeight="1">
      <c r="A694" s="19"/>
      <c r="B694" s="19"/>
      <c r="C694" s="19"/>
      <c r="D694" s="19"/>
      <c r="E694" s="19"/>
      <c r="F694" s="19"/>
    </row>
    <row r="695" ht="15.75" customHeight="1">
      <c r="A695" s="19"/>
      <c r="B695" s="19"/>
      <c r="C695" s="19"/>
      <c r="D695" s="19"/>
      <c r="E695" s="19"/>
      <c r="F695" s="19"/>
    </row>
    <row r="696" ht="15.75" customHeight="1">
      <c r="A696" s="19"/>
      <c r="B696" s="19"/>
      <c r="C696" s="19"/>
      <c r="D696" s="19"/>
      <c r="E696" s="19"/>
      <c r="F696" s="19"/>
    </row>
    <row r="697" ht="15.75" customHeight="1">
      <c r="A697" s="19"/>
      <c r="B697" s="19"/>
      <c r="C697" s="19"/>
      <c r="D697" s="19"/>
      <c r="E697" s="19"/>
      <c r="F697" s="19"/>
    </row>
    <row r="698" ht="15.75" customHeight="1">
      <c r="A698" s="19"/>
      <c r="B698" s="19"/>
      <c r="C698" s="19"/>
      <c r="D698" s="19"/>
      <c r="E698" s="19"/>
      <c r="F698" s="19"/>
    </row>
    <row r="699" ht="15.75" customHeight="1">
      <c r="A699" s="19"/>
      <c r="B699" s="19"/>
      <c r="C699" s="19"/>
      <c r="D699" s="19"/>
      <c r="E699" s="19"/>
      <c r="F699" s="19"/>
    </row>
    <row r="700" ht="15.75" customHeight="1">
      <c r="A700" s="19"/>
      <c r="B700" s="19"/>
      <c r="C700" s="19"/>
      <c r="D700" s="19"/>
      <c r="E700" s="19"/>
      <c r="F700" s="19"/>
    </row>
    <row r="701" ht="15.75" customHeight="1">
      <c r="A701" s="19"/>
      <c r="B701" s="19"/>
      <c r="C701" s="19"/>
      <c r="D701" s="19"/>
      <c r="E701" s="19"/>
      <c r="F701" s="19"/>
    </row>
    <row r="702" ht="15.75" customHeight="1">
      <c r="A702" s="19"/>
      <c r="B702" s="19"/>
      <c r="C702" s="19"/>
      <c r="D702" s="19"/>
      <c r="E702" s="19"/>
      <c r="F702" s="19"/>
    </row>
    <row r="703" ht="15.75" customHeight="1">
      <c r="A703" s="19"/>
      <c r="B703" s="19"/>
      <c r="C703" s="19"/>
      <c r="D703" s="19"/>
      <c r="E703" s="19"/>
      <c r="F703" s="19"/>
    </row>
    <row r="704" ht="15.75" customHeight="1">
      <c r="A704" s="19"/>
      <c r="B704" s="19"/>
      <c r="C704" s="19"/>
      <c r="D704" s="19"/>
      <c r="E704" s="19"/>
      <c r="F704" s="19"/>
    </row>
    <row r="705" ht="15.75" customHeight="1">
      <c r="A705" s="19"/>
      <c r="B705" s="19"/>
      <c r="C705" s="19"/>
      <c r="D705" s="19"/>
      <c r="E705" s="19"/>
      <c r="F705" s="19"/>
    </row>
    <row r="706" ht="15.75" customHeight="1">
      <c r="A706" s="19"/>
      <c r="B706" s="19"/>
      <c r="C706" s="19"/>
      <c r="D706" s="19"/>
      <c r="E706" s="19"/>
      <c r="F706" s="19"/>
    </row>
    <row r="707" ht="15.75" customHeight="1">
      <c r="A707" s="19"/>
      <c r="B707" s="19"/>
      <c r="C707" s="19"/>
      <c r="D707" s="19"/>
      <c r="E707" s="19"/>
      <c r="F707" s="19"/>
    </row>
    <row r="708" ht="15.75" customHeight="1">
      <c r="A708" s="19"/>
      <c r="B708" s="19"/>
      <c r="C708" s="19"/>
      <c r="D708" s="19"/>
      <c r="E708" s="19"/>
      <c r="F708" s="19"/>
    </row>
    <row r="709" ht="15.75" customHeight="1">
      <c r="A709" s="19"/>
      <c r="B709" s="19"/>
      <c r="C709" s="19"/>
      <c r="D709" s="19"/>
      <c r="E709" s="19"/>
      <c r="F709" s="19"/>
    </row>
    <row r="710" ht="15.75" customHeight="1">
      <c r="A710" s="19"/>
      <c r="B710" s="19"/>
      <c r="C710" s="19"/>
      <c r="D710" s="19"/>
      <c r="E710" s="19"/>
      <c r="F710" s="19"/>
    </row>
    <row r="711" ht="15.75" customHeight="1">
      <c r="A711" s="19"/>
      <c r="B711" s="19"/>
      <c r="C711" s="19"/>
      <c r="D711" s="19"/>
      <c r="E711" s="19"/>
      <c r="F711" s="19"/>
    </row>
    <row r="712" ht="15.75" customHeight="1">
      <c r="A712" s="19"/>
      <c r="B712" s="19"/>
      <c r="C712" s="19"/>
      <c r="D712" s="19"/>
      <c r="E712" s="19"/>
      <c r="F712" s="19"/>
    </row>
    <row r="713" ht="15.75" customHeight="1">
      <c r="A713" s="19"/>
      <c r="B713" s="19"/>
      <c r="C713" s="19"/>
      <c r="D713" s="19"/>
      <c r="E713" s="19"/>
      <c r="F713" s="19"/>
    </row>
    <row r="714" ht="15.75" customHeight="1">
      <c r="A714" s="19"/>
      <c r="B714" s="19"/>
      <c r="C714" s="19"/>
      <c r="D714" s="19"/>
      <c r="E714" s="19"/>
      <c r="F714" s="19"/>
    </row>
    <row r="715" ht="15.75" customHeight="1">
      <c r="A715" s="19"/>
      <c r="B715" s="19"/>
      <c r="C715" s="19"/>
      <c r="D715" s="19"/>
      <c r="E715" s="19"/>
      <c r="F715" s="19"/>
    </row>
    <row r="716" ht="15.75" customHeight="1">
      <c r="A716" s="19"/>
      <c r="B716" s="19"/>
      <c r="C716" s="19"/>
      <c r="D716" s="19"/>
      <c r="E716" s="19"/>
      <c r="F716" s="19"/>
    </row>
    <row r="717" ht="15.75" customHeight="1">
      <c r="A717" s="19"/>
      <c r="B717" s="19"/>
      <c r="C717" s="19"/>
      <c r="D717" s="19"/>
      <c r="E717" s="19"/>
      <c r="F717" s="19"/>
    </row>
    <row r="718" ht="15.75" customHeight="1">
      <c r="A718" s="19"/>
      <c r="B718" s="19"/>
      <c r="C718" s="19"/>
      <c r="D718" s="19"/>
      <c r="E718" s="19"/>
      <c r="F718" s="19"/>
    </row>
    <row r="719" ht="15.75" customHeight="1">
      <c r="A719" s="19"/>
      <c r="B719" s="19"/>
      <c r="C719" s="19"/>
      <c r="D719" s="19"/>
      <c r="E719" s="19"/>
      <c r="F719" s="19"/>
    </row>
    <row r="720" ht="15.75" customHeight="1">
      <c r="A720" s="19"/>
      <c r="B720" s="19"/>
      <c r="C720" s="19"/>
      <c r="D720" s="19"/>
      <c r="E720" s="19"/>
      <c r="F720" s="19"/>
    </row>
    <row r="721" ht="15.75" customHeight="1">
      <c r="A721" s="19"/>
      <c r="B721" s="19"/>
      <c r="C721" s="19"/>
      <c r="D721" s="19"/>
      <c r="E721" s="19"/>
      <c r="F721" s="19"/>
    </row>
    <row r="722" ht="15.75" customHeight="1">
      <c r="A722" s="19"/>
      <c r="B722" s="19"/>
      <c r="C722" s="19"/>
      <c r="D722" s="19"/>
      <c r="E722" s="19"/>
      <c r="F722" s="19"/>
    </row>
    <row r="723" ht="15.75" customHeight="1">
      <c r="A723" s="19"/>
      <c r="B723" s="19"/>
      <c r="C723" s="19"/>
      <c r="D723" s="19"/>
      <c r="E723" s="19"/>
      <c r="F723" s="19"/>
    </row>
    <row r="724" ht="15.75" customHeight="1">
      <c r="A724" s="19"/>
      <c r="B724" s="19"/>
      <c r="C724" s="19"/>
      <c r="D724" s="19"/>
      <c r="E724" s="19"/>
      <c r="F724" s="19"/>
    </row>
    <row r="725" ht="15.75" customHeight="1">
      <c r="A725" s="19"/>
      <c r="B725" s="19"/>
      <c r="C725" s="19"/>
      <c r="D725" s="19"/>
      <c r="E725" s="19"/>
      <c r="F725" s="19"/>
    </row>
    <row r="726" ht="15.75" customHeight="1">
      <c r="A726" s="19"/>
      <c r="B726" s="19"/>
      <c r="C726" s="19"/>
      <c r="D726" s="19"/>
      <c r="E726" s="19"/>
      <c r="F726" s="19"/>
    </row>
    <row r="727" ht="15.75" customHeight="1">
      <c r="A727" s="19"/>
      <c r="B727" s="19"/>
      <c r="C727" s="19"/>
      <c r="D727" s="19"/>
      <c r="E727" s="19"/>
      <c r="F727" s="19"/>
    </row>
    <row r="728" ht="15.75" customHeight="1">
      <c r="A728" s="19"/>
      <c r="B728" s="19"/>
      <c r="C728" s="19"/>
      <c r="D728" s="19"/>
      <c r="E728" s="19"/>
      <c r="F728" s="19"/>
    </row>
    <row r="729" ht="15.75" customHeight="1">
      <c r="A729" s="19"/>
      <c r="B729" s="19"/>
      <c r="C729" s="19"/>
      <c r="D729" s="19"/>
      <c r="E729" s="19"/>
      <c r="F729" s="19"/>
    </row>
    <row r="730" ht="15.75" customHeight="1">
      <c r="A730" s="19"/>
      <c r="B730" s="19"/>
      <c r="C730" s="19"/>
      <c r="D730" s="19"/>
      <c r="E730" s="19"/>
      <c r="F730" s="19"/>
    </row>
    <row r="731" ht="15.75" customHeight="1">
      <c r="A731" s="19"/>
      <c r="B731" s="19"/>
      <c r="C731" s="19"/>
      <c r="D731" s="19"/>
      <c r="E731" s="19"/>
      <c r="F731" s="19"/>
    </row>
    <row r="732" ht="15.75" customHeight="1">
      <c r="A732" s="19"/>
      <c r="B732" s="19"/>
      <c r="C732" s="19"/>
      <c r="D732" s="19"/>
      <c r="E732" s="19"/>
      <c r="F732" s="19"/>
    </row>
    <row r="733" ht="15.75" customHeight="1">
      <c r="A733" s="19"/>
      <c r="B733" s="19"/>
      <c r="C733" s="19"/>
      <c r="D733" s="19"/>
      <c r="E733" s="19"/>
      <c r="F733" s="19"/>
    </row>
    <row r="734" ht="15.75" customHeight="1">
      <c r="A734" s="19"/>
      <c r="B734" s="19"/>
      <c r="C734" s="19"/>
      <c r="D734" s="19"/>
      <c r="E734" s="19"/>
      <c r="F734" s="19"/>
    </row>
    <row r="735" ht="15.75" customHeight="1">
      <c r="A735" s="19"/>
      <c r="B735" s="19"/>
      <c r="C735" s="19"/>
      <c r="D735" s="19"/>
      <c r="E735" s="19"/>
      <c r="F735" s="19"/>
    </row>
    <row r="736" ht="15.75" customHeight="1">
      <c r="A736" s="19"/>
      <c r="B736" s="19"/>
      <c r="C736" s="19"/>
      <c r="D736" s="19"/>
      <c r="E736" s="19"/>
      <c r="F736" s="19"/>
    </row>
    <row r="737" ht="15.75" customHeight="1">
      <c r="A737" s="19"/>
      <c r="B737" s="19"/>
      <c r="C737" s="19"/>
      <c r="D737" s="19"/>
      <c r="E737" s="19"/>
      <c r="F737" s="19"/>
    </row>
    <row r="738" ht="15.75" customHeight="1">
      <c r="A738" s="19"/>
      <c r="B738" s="19"/>
      <c r="C738" s="19"/>
      <c r="D738" s="19"/>
      <c r="E738" s="19"/>
      <c r="F738" s="19"/>
    </row>
    <row r="739" ht="15.75" customHeight="1">
      <c r="A739" s="19"/>
      <c r="B739" s="19"/>
      <c r="C739" s="19"/>
      <c r="D739" s="19"/>
      <c r="E739" s="19"/>
      <c r="F739" s="19"/>
    </row>
    <row r="740" ht="15.75" customHeight="1">
      <c r="A740" s="19"/>
      <c r="B740" s="19"/>
      <c r="C740" s="19"/>
      <c r="D740" s="19"/>
      <c r="E740" s="19"/>
      <c r="F740" s="19"/>
    </row>
    <row r="741" ht="15.75" customHeight="1">
      <c r="A741" s="19"/>
      <c r="B741" s="19"/>
      <c r="C741" s="19"/>
      <c r="D741" s="19"/>
      <c r="E741" s="19"/>
      <c r="F741" s="19"/>
    </row>
    <row r="742" ht="15.75" customHeight="1">
      <c r="A742" s="19"/>
      <c r="B742" s="19"/>
      <c r="C742" s="19"/>
      <c r="D742" s="19"/>
      <c r="E742" s="19"/>
      <c r="F742" s="19"/>
    </row>
    <row r="743" ht="15.75" customHeight="1">
      <c r="A743" s="19"/>
      <c r="B743" s="19"/>
      <c r="C743" s="19"/>
      <c r="D743" s="19"/>
      <c r="E743" s="19"/>
      <c r="F743" s="19"/>
    </row>
    <row r="744" ht="15.75" customHeight="1">
      <c r="A744" s="19"/>
      <c r="B744" s="19"/>
      <c r="C744" s="19"/>
      <c r="D744" s="19"/>
      <c r="E744" s="19"/>
      <c r="F744" s="19"/>
    </row>
    <row r="745" ht="15.75" customHeight="1">
      <c r="A745" s="19"/>
      <c r="B745" s="19"/>
      <c r="C745" s="19"/>
      <c r="D745" s="19"/>
      <c r="E745" s="19"/>
      <c r="F745" s="19"/>
    </row>
    <row r="746" ht="15.75" customHeight="1">
      <c r="A746" s="19"/>
      <c r="B746" s="19"/>
      <c r="C746" s="19"/>
      <c r="D746" s="19"/>
      <c r="E746" s="19"/>
      <c r="F746" s="19"/>
    </row>
    <row r="747" ht="15.75" customHeight="1">
      <c r="A747" s="19"/>
      <c r="B747" s="19"/>
      <c r="C747" s="19"/>
      <c r="D747" s="19"/>
      <c r="E747" s="19"/>
      <c r="F747" s="19"/>
    </row>
    <row r="748" ht="15.75" customHeight="1">
      <c r="A748" s="19"/>
      <c r="B748" s="19"/>
      <c r="C748" s="19"/>
      <c r="D748" s="19"/>
      <c r="E748" s="19"/>
      <c r="F748" s="19"/>
    </row>
    <row r="749" ht="15.75" customHeight="1">
      <c r="A749" s="19"/>
      <c r="B749" s="19"/>
      <c r="C749" s="19"/>
      <c r="D749" s="19"/>
      <c r="E749" s="19"/>
      <c r="F749" s="19"/>
    </row>
    <row r="750" ht="15.75" customHeight="1">
      <c r="A750" s="19"/>
      <c r="B750" s="19"/>
      <c r="C750" s="19"/>
      <c r="D750" s="19"/>
      <c r="E750" s="19"/>
      <c r="F750" s="19"/>
    </row>
    <row r="751" ht="15.75" customHeight="1">
      <c r="A751" s="19"/>
      <c r="B751" s="19"/>
      <c r="C751" s="19"/>
      <c r="D751" s="19"/>
      <c r="E751" s="19"/>
      <c r="F751" s="19"/>
    </row>
    <row r="752" ht="15.75" customHeight="1">
      <c r="A752" s="19"/>
      <c r="B752" s="19"/>
      <c r="C752" s="19"/>
      <c r="D752" s="19"/>
      <c r="E752" s="19"/>
      <c r="F752" s="19"/>
    </row>
    <row r="753" ht="15.75" customHeight="1">
      <c r="A753" s="19"/>
      <c r="B753" s="19"/>
      <c r="C753" s="19"/>
      <c r="D753" s="19"/>
      <c r="E753" s="19"/>
      <c r="F753" s="19"/>
    </row>
    <row r="754" ht="15.75" customHeight="1">
      <c r="A754" s="19"/>
      <c r="B754" s="19"/>
      <c r="C754" s="19"/>
      <c r="D754" s="19"/>
      <c r="E754" s="19"/>
      <c r="F754" s="19"/>
    </row>
    <row r="755" ht="15.75" customHeight="1">
      <c r="A755" s="19"/>
      <c r="B755" s="19"/>
      <c r="C755" s="19"/>
      <c r="D755" s="19"/>
      <c r="E755" s="19"/>
      <c r="F755" s="19"/>
    </row>
    <row r="756" ht="15.75" customHeight="1">
      <c r="A756" s="19"/>
      <c r="B756" s="19"/>
      <c r="C756" s="19"/>
      <c r="D756" s="19"/>
      <c r="E756" s="19"/>
      <c r="F756" s="19"/>
    </row>
    <row r="757" ht="15.75" customHeight="1">
      <c r="A757" s="19"/>
      <c r="B757" s="19"/>
      <c r="C757" s="19"/>
      <c r="D757" s="19"/>
      <c r="E757" s="19"/>
      <c r="F757" s="19"/>
    </row>
    <row r="758" ht="15.75" customHeight="1">
      <c r="A758" s="19"/>
      <c r="B758" s="19"/>
      <c r="C758" s="19"/>
      <c r="D758" s="19"/>
      <c r="E758" s="19"/>
      <c r="F758" s="19"/>
    </row>
    <row r="759" ht="15.75" customHeight="1">
      <c r="A759" s="19"/>
      <c r="B759" s="19"/>
      <c r="C759" s="19"/>
      <c r="D759" s="19"/>
      <c r="E759" s="19"/>
      <c r="F759" s="19"/>
    </row>
    <row r="760" ht="15.75" customHeight="1">
      <c r="A760" s="19"/>
      <c r="B760" s="19"/>
      <c r="C760" s="19"/>
      <c r="D760" s="19"/>
      <c r="E760" s="19"/>
      <c r="F760" s="19"/>
    </row>
    <row r="761" ht="15.75" customHeight="1">
      <c r="A761" s="19"/>
      <c r="B761" s="19"/>
      <c r="C761" s="19"/>
      <c r="D761" s="19"/>
      <c r="E761" s="19"/>
      <c r="F761" s="19"/>
    </row>
    <row r="762" ht="15.75" customHeight="1">
      <c r="A762" s="19"/>
      <c r="B762" s="19"/>
      <c r="C762" s="19"/>
      <c r="D762" s="19"/>
      <c r="E762" s="19"/>
      <c r="F762" s="19"/>
    </row>
    <row r="763" ht="15.75" customHeight="1">
      <c r="A763" s="19"/>
      <c r="B763" s="19"/>
      <c r="C763" s="19"/>
      <c r="D763" s="19"/>
      <c r="E763" s="19"/>
      <c r="F763" s="19"/>
    </row>
    <row r="764" ht="15.75" customHeight="1">
      <c r="A764" s="19"/>
      <c r="B764" s="19"/>
      <c r="C764" s="19"/>
      <c r="D764" s="19"/>
      <c r="E764" s="19"/>
      <c r="F764" s="19"/>
    </row>
    <row r="765" ht="15.75" customHeight="1">
      <c r="A765" s="19"/>
      <c r="B765" s="19"/>
      <c r="C765" s="19"/>
      <c r="D765" s="19"/>
      <c r="E765" s="19"/>
      <c r="F765" s="19"/>
    </row>
    <row r="766" ht="15.75" customHeight="1">
      <c r="A766" s="19"/>
      <c r="B766" s="19"/>
      <c r="C766" s="19"/>
      <c r="D766" s="19"/>
      <c r="E766" s="19"/>
      <c r="F766" s="19"/>
    </row>
    <row r="767" ht="15.75" customHeight="1">
      <c r="A767" s="19"/>
      <c r="B767" s="19"/>
      <c r="C767" s="19"/>
      <c r="D767" s="19"/>
      <c r="E767" s="19"/>
      <c r="F767" s="19"/>
    </row>
    <row r="768" ht="15.75" customHeight="1">
      <c r="A768" s="19"/>
      <c r="B768" s="19"/>
      <c r="C768" s="19"/>
      <c r="D768" s="19"/>
      <c r="E768" s="19"/>
      <c r="F768" s="19"/>
    </row>
    <row r="769" ht="15.75" customHeight="1">
      <c r="A769" s="19"/>
      <c r="B769" s="19"/>
      <c r="C769" s="19"/>
      <c r="D769" s="19"/>
      <c r="E769" s="19"/>
      <c r="F769" s="19"/>
    </row>
    <row r="770" ht="15.75" customHeight="1">
      <c r="A770" s="19"/>
      <c r="B770" s="19"/>
      <c r="C770" s="19"/>
      <c r="D770" s="19"/>
      <c r="E770" s="19"/>
      <c r="F770" s="19"/>
    </row>
    <row r="771" ht="15.75" customHeight="1">
      <c r="A771" s="19"/>
      <c r="B771" s="19"/>
      <c r="C771" s="19"/>
      <c r="D771" s="19"/>
      <c r="E771" s="19"/>
      <c r="F771" s="19"/>
    </row>
    <row r="772" ht="15.75" customHeight="1">
      <c r="A772" s="19"/>
      <c r="B772" s="19"/>
      <c r="C772" s="19"/>
      <c r="D772" s="19"/>
      <c r="E772" s="19"/>
      <c r="F772" s="19"/>
    </row>
    <row r="773" ht="15.75" customHeight="1">
      <c r="A773" s="19"/>
      <c r="B773" s="19"/>
      <c r="C773" s="19"/>
      <c r="D773" s="19"/>
      <c r="E773" s="19"/>
      <c r="F773" s="19"/>
    </row>
    <row r="774" ht="15.75" customHeight="1">
      <c r="A774" s="19"/>
      <c r="B774" s="19"/>
      <c r="C774" s="19"/>
      <c r="D774" s="19"/>
      <c r="E774" s="19"/>
      <c r="F774" s="19"/>
    </row>
    <row r="775" ht="15.75" customHeight="1">
      <c r="A775" s="19"/>
      <c r="B775" s="19"/>
      <c r="C775" s="19"/>
      <c r="D775" s="19"/>
      <c r="E775" s="19"/>
      <c r="F775" s="19"/>
    </row>
    <row r="776" ht="15.75" customHeight="1">
      <c r="A776" s="19"/>
      <c r="B776" s="19"/>
      <c r="C776" s="19"/>
      <c r="D776" s="19"/>
      <c r="E776" s="19"/>
      <c r="F776" s="19"/>
    </row>
    <row r="777" ht="15.75" customHeight="1">
      <c r="A777" s="19"/>
      <c r="B777" s="19"/>
      <c r="C777" s="19"/>
      <c r="D777" s="19"/>
      <c r="E777" s="19"/>
      <c r="F777" s="19"/>
    </row>
    <row r="778" ht="15.75" customHeight="1">
      <c r="A778" s="19"/>
      <c r="B778" s="19"/>
      <c r="C778" s="19"/>
      <c r="D778" s="19"/>
      <c r="E778" s="19"/>
      <c r="F778" s="19"/>
    </row>
    <row r="779" ht="15.75" customHeight="1">
      <c r="A779" s="19"/>
      <c r="B779" s="19"/>
      <c r="C779" s="19"/>
      <c r="D779" s="19"/>
      <c r="E779" s="19"/>
      <c r="F779" s="19"/>
    </row>
    <row r="780" ht="15.75" customHeight="1">
      <c r="A780" s="19"/>
      <c r="B780" s="19"/>
      <c r="C780" s="19"/>
      <c r="D780" s="19"/>
      <c r="E780" s="19"/>
      <c r="F780" s="19"/>
    </row>
    <row r="781" ht="15.75" customHeight="1">
      <c r="A781" s="19"/>
      <c r="B781" s="19"/>
      <c r="C781" s="19"/>
      <c r="D781" s="19"/>
      <c r="E781" s="19"/>
      <c r="F781" s="19"/>
    </row>
    <row r="782" ht="15.75" customHeight="1">
      <c r="A782" s="19"/>
      <c r="B782" s="19"/>
      <c r="C782" s="19"/>
      <c r="D782" s="19"/>
      <c r="E782" s="19"/>
      <c r="F782" s="19"/>
    </row>
    <row r="783" ht="15.75" customHeight="1">
      <c r="A783" s="19"/>
      <c r="B783" s="19"/>
      <c r="C783" s="19"/>
      <c r="D783" s="19"/>
      <c r="E783" s="19"/>
      <c r="F783" s="19"/>
    </row>
    <row r="784" ht="15.75" customHeight="1">
      <c r="A784" s="19"/>
      <c r="B784" s="19"/>
      <c r="C784" s="19"/>
      <c r="D784" s="19"/>
      <c r="E784" s="19"/>
      <c r="F784" s="19"/>
    </row>
    <row r="785" ht="15.75" customHeight="1">
      <c r="A785" s="19"/>
      <c r="B785" s="19"/>
      <c r="C785" s="19"/>
      <c r="D785" s="19"/>
      <c r="E785" s="19"/>
      <c r="F785" s="19"/>
    </row>
    <row r="786" ht="15.75" customHeight="1">
      <c r="A786" s="19"/>
      <c r="B786" s="19"/>
      <c r="C786" s="19"/>
      <c r="D786" s="19"/>
      <c r="E786" s="19"/>
      <c r="F786" s="19"/>
    </row>
    <row r="787" ht="15.75" customHeight="1">
      <c r="A787" s="19"/>
      <c r="B787" s="19"/>
      <c r="C787" s="19"/>
      <c r="D787" s="19"/>
      <c r="E787" s="19"/>
      <c r="F787" s="19"/>
    </row>
    <row r="788" ht="15.75" customHeight="1">
      <c r="A788" s="19"/>
      <c r="B788" s="19"/>
      <c r="C788" s="19"/>
      <c r="D788" s="19"/>
      <c r="E788" s="19"/>
      <c r="F788" s="19"/>
    </row>
    <row r="789" ht="15.75" customHeight="1">
      <c r="A789" s="19"/>
      <c r="B789" s="19"/>
      <c r="C789" s="19"/>
      <c r="D789" s="19"/>
      <c r="E789" s="19"/>
      <c r="F789" s="19"/>
    </row>
    <row r="790" ht="15.75" customHeight="1">
      <c r="A790" s="19"/>
      <c r="B790" s="19"/>
      <c r="C790" s="19"/>
      <c r="D790" s="19"/>
      <c r="E790" s="19"/>
      <c r="F790" s="19"/>
    </row>
    <row r="791" ht="15.75" customHeight="1">
      <c r="A791" s="19"/>
      <c r="B791" s="19"/>
      <c r="C791" s="19"/>
      <c r="D791" s="19"/>
      <c r="E791" s="19"/>
      <c r="F791" s="19"/>
    </row>
    <row r="792" ht="15.75" customHeight="1">
      <c r="A792" s="19"/>
      <c r="B792" s="19"/>
      <c r="C792" s="19"/>
      <c r="D792" s="19"/>
      <c r="E792" s="19"/>
      <c r="F792" s="19"/>
    </row>
    <row r="793" ht="15.75" customHeight="1">
      <c r="A793" s="19"/>
      <c r="B793" s="19"/>
      <c r="C793" s="19"/>
      <c r="D793" s="19"/>
      <c r="E793" s="19"/>
      <c r="F793" s="19"/>
    </row>
    <row r="794" ht="15.75" customHeight="1">
      <c r="A794" s="19"/>
      <c r="B794" s="19"/>
      <c r="C794" s="19"/>
      <c r="D794" s="19"/>
      <c r="E794" s="19"/>
      <c r="F794" s="19"/>
    </row>
    <row r="795" ht="15.75" customHeight="1">
      <c r="A795" s="19"/>
      <c r="B795" s="19"/>
      <c r="C795" s="19"/>
      <c r="D795" s="19"/>
      <c r="E795" s="19"/>
      <c r="F795" s="19"/>
    </row>
    <row r="796" ht="15.75" customHeight="1">
      <c r="A796" s="19"/>
      <c r="B796" s="19"/>
      <c r="C796" s="19"/>
      <c r="D796" s="19"/>
      <c r="E796" s="19"/>
      <c r="F796" s="19"/>
    </row>
    <row r="797" ht="15.75" customHeight="1">
      <c r="A797" s="19"/>
      <c r="B797" s="19"/>
      <c r="C797" s="19"/>
      <c r="D797" s="19"/>
      <c r="E797" s="19"/>
      <c r="F797" s="19"/>
    </row>
    <row r="798" ht="15.75" customHeight="1">
      <c r="A798" s="19"/>
      <c r="B798" s="19"/>
      <c r="C798" s="19"/>
      <c r="D798" s="19"/>
      <c r="E798" s="19"/>
      <c r="F798" s="19"/>
    </row>
    <row r="799" ht="15.75" customHeight="1">
      <c r="A799" s="19"/>
      <c r="B799" s="19"/>
      <c r="C799" s="19"/>
      <c r="D799" s="19"/>
      <c r="E799" s="19"/>
      <c r="F799" s="19"/>
    </row>
    <row r="800" ht="15.75" customHeight="1">
      <c r="A800" s="19"/>
      <c r="B800" s="19"/>
      <c r="C800" s="19"/>
      <c r="D800" s="19"/>
      <c r="E800" s="19"/>
      <c r="F800" s="19"/>
    </row>
    <row r="801" ht="15.75" customHeight="1">
      <c r="A801" s="19"/>
      <c r="B801" s="19"/>
      <c r="C801" s="19"/>
      <c r="D801" s="19"/>
      <c r="E801" s="19"/>
      <c r="F801" s="19"/>
    </row>
    <row r="802" ht="15.75" customHeight="1">
      <c r="A802" s="19"/>
      <c r="B802" s="19"/>
      <c r="C802" s="19"/>
      <c r="D802" s="19"/>
      <c r="E802" s="19"/>
      <c r="F802" s="19"/>
    </row>
    <row r="803" ht="15.75" customHeight="1">
      <c r="A803" s="19"/>
      <c r="B803" s="19"/>
      <c r="C803" s="19"/>
      <c r="D803" s="19"/>
      <c r="E803" s="19"/>
      <c r="F803" s="19"/>
    </row>
    <row r="804" ht="15.75" customHeight="1">
      <c r="A804" s="19"/>
      <c r="B804" s="19"/>
      <c r="C804" s="19"/>
      <c r="D804" s="19"/>
      <c r="E804" s="19"/>
      <c r="F804" s="19"/>
    </row>
    <row r="805" ht="15.75" customHeight="1">
      <c r="A805" s="19"/>
      <c r="B805" s="19"/>
      <c r="C805" s="19"/>
      <c r="D805" s="19"/>
      <c r="E805" s="19"/>
      <c r="F805" s="19"/>
    </row>
    <row r="806" ht="15.75" customHeight="1">
      <c r="A806" s="19"/>
      <c r="B806" s="19"/>
      <c r="C806" s="19"/>
      <c r="D806" s="19"/>
      <c r="E806" s="19"/>
      <c r="F806" s="19"/>
    </row>
    <row r="807" ht="15.75" customHeight="1">
      <c r="A807" s="19"/>
      <c r="B807" s="19"/>
      <c r="C807" s="19"/>
      <c r="D807" s="19"/>
      <c r="E807" s="19"/>
      <c r="F807" s="19"/>
    </row>
    <row r="808" ht="15.75" customHeight="1">
      <c r="A808" s="19"/>
      <c r="B808" s="19"/>
      <c r="C808" s="19"/>
      <c r="D808" s="19"/>
      <c r="E808" s="19"/>
      <c r="F808" s="19"/>
    </row>
    <row r="809" ht="15.75" customHeight="1">
      <c r="A809" s="19"/>
      <c r="B809" s="19"/>
      <c r="C809" s="19"/>
      <c r="D809" s="19"/>
      <c r="E809" s="19"/>
      <c r="F809" s="19"/>
    </row>
    <row r="810" ht="15.75" customHeight="1">
      <c r="A810" s="19"/>
      <c r="B810" s="19"/>
      <c r="C810" s="19"/>
      <c r="D810" s="19"/>
      <c r="E810" s="19"/>
      <c r="F810" s="19"/>
    </row>
    <row r="811" ht="15.75" customHeight="1">
      <c r="A811" s="19"/>
      <c r="B811" s="19"/>
      <c r="C811" s="19"/>
      <c r="D811" s="19"/>
      <c r="E811" s="19"/>
      <c r="F811" s="19"/>
    </row>
    <row r="812" ht="15.75" customHeight="1">
      <c r="A812" s="19"/>
      <c r="B812" s="19"/>
      <c r="C812" s="19"/>
      <c r="D812" s="19"/>
      <c r="E812" s="19"/>
      <c r="F812" s="19"/>
    </row>
    <row r="813" ht="15.75" customHeight="1">
      <c r="A813" s="19"/>
      <c r="B813" s="19"/>
      <c r="C813" s="19"/>
      <c r="D813" s="19"/>
      <c r="E813" s="19"/>
      <c r="F813" s="19"/>
    </row>
    <row r="814" ht="15.75" customHeight="1">
      <c r="A814" s="19"/>
      <c r="B814" s="19"/>
      <c r="C814" s="19"/>
      <c r="D814" s="19"/>
      <c r="E814" s="19"/>
      <c r="F814" s="19"/>
    </row>
    <row r="815" ht="15.75" customHeight="1">
      <c r="A815" s="19"/>
      <c r="B815" s="19"/>
      <c r="C815" s="19"/>
      <c r="D815" s="19"/>
      <c r="E815" s="19"/>
      <c r="F815" s="19"/>
    </row>
    <row r="816" ht="15.75" customHeight="1">
      <c r="A816" s="19"/>
      <c r="B816" s="19"/>
      <c r="C816" s="19"/>
      <c r="D816" s="19"/>
      <c r="E816" s="19"/>
      <c r="F816" s="19"/>
    </row>
    <row r="817" ht="15.75" customHeight="1">
      <c r="A817" s="19"/>
      <c r="B817" s="19"/>
      <c r="C817" s="19"/>
      <c r="D817" s="19"/>
      <c r="E817" s="19"/>
      <c r="F817" s="19"/>
    </row>
    <row r="818" ht="15.75" customHeight="1">
      <c r="A818" s="19"/>
      <c r="B818" s="19"/>
      <c r="C818" s="19"/>
      <c r="D818" s="19"/>
      <c r="E818" s="19"/>
      <c r="F818" s="19"/>
    </row>
    <row r="819" ht="15.75" customHeight="1">
      <c r="A819" s="19"/>
      <c r="B819" s="19"/>
      <c r="C819" s="19"/>
      <c r="D819" s="19"/>
      <c r="E819" s="19"/>
      <c r="F819" s="19"/>
    </row>
    <row r="820" ht="15.75" customHeight="1">
      <c r="A820" s="19"/>
      <c r="B820" s="19"/>
      <c r="C820" s="19"/>
      <c r="D820" s="19"/>
      <c r="E820" s="19"/>
      <c r="F820" s="19"/>
    </row>
    <row r="821" ht="15.75" customHeight="1">
      <c r="A821" s="19"/>
      <c r="B821" s="19"/>
      <c r="C821" s="19"/>
      <c r="D821" s="19"/>
      <c r="E821" s="19"/>
      <c r="F821" s="19"/>
    </row>
    <row r="822" ht="15.75" customHeight="1">
      <c r="A822" s="19"/>
      <c r="B822" s="19"/>
      <c r="C822" s="19"/>
      <c r="D822" s="19"/>
      <c r="E822" s="19"/>
      <c r="F822" s="19"/>
    </row>
    <row r="823" ht="15.75" customHeight="1">
      <c r="A823" s="19"/>
      <c r="B823" s="19"/>
      <c r="C823" s="19"/>
      <c r="D823" s="19"/>
      <c r="E823" s="19"/>
      <c r="F823" s="19"/>
    </row>
    <row r="824" ht="15.75" customHeight="1">
      <c r="A824" s="19"/>
      <c r="B824" s="19"/>
      <c r="C824" s="19"/>
      <c r="D824" s="19"/>
      <c r="E824" s="19"/>
      <c r="F824" s="19"/>
    </row>
    <row r="825" ht="15.75" customHeight="1">
      <c r="A825" s="19"/>
      <c r="B825" s="19"/>
      <c r="C825" s="19"/>
      <c r="D825" s="19"/>
      <c r="E825" s="19"/>
      <c r="F825" s="19"/>
    </row>
    <row r="826" ht="15.75" customHeight="1">
      <c r="A826" s="19"/>
      <c r="B826" s="19"/>
      <c r="C826" s="19"/>
      <c r="D826" s="19"/>
      <c r="E826" s="19"/>
      <c r="F826" s="19"/>
    </row>
    <row r="827" ht="15.75" customHeight="1">
      <c r="A827" s="19"/>
      <c r="B827" s="19"/>
      <c r="C827" s="19"/>
      <c r="D827" s="19"/>
      <c r="E827" s="19"/>
      <c r="F827" s="19"/>
    </row>
    <row r="828" ht="15.75" customHeight="1">
      <c r="A828" s="19"/>
      <c r="B828" s="19"/>
      <c r="C828" s="19"/>
      <c r="D828" s="19"/>
      <c r="E828" s="19"/>
      <c r="F828" s="19"/>
    </row>
    <row r="829" ht="15.75" customHeight="1">
      <c r="A829" s="19"/>
      <c r="B829" s="19"/>
      <c r="C829" s="19"/>
      <c r="D829" s="19"/>
      <c r="E829" s="19"/>
      <c r="F829" s="19"/>
    </row>
    <row r="830" ht="15.75" customHeight="1">
      <c r="A830" s="19"/>
      <c r="B830" s="19"/>
      <c r="C830" s="19"/>
      <c r="D830" s="19"/>
      <c r="E830" s="19"/>
      <c r="F830" s="19"/>
    </row>
    <row r="831" ht="15.75" customHeight="1">
      <c r="A831" s="19"/>
      <c r="B831" s="19"/>
      <c r="C831" s="19"/>
      <c r="D831" s="19"/>
      <c r="E831" s="19"/>
      <c r="F831" s="19"/>
    </row>
    <row r="832" ht="15.75" customHeight="1">
      <c r="A832" s="19"/>
      <c r="B832" s="19"/>
      <c r="C832" s="19"/>
      <c r="D832" s="19"/>
      <c r="E832" s="19"/>
      <c r="F832" s="19"/>
    </row>
    <row r="833" ht="15.75" customHeight="1">
      <c r="A833" s="19"/>
      <c r="B833" s="19"/>
      <c r="C833" s="19"/>
      <c r="D833" s="19"/>
      <c r="E833" s="19"/>
      <c r="F833" s="19"/>
    </row>
    <row r="834" ht="15.75" customHeight="1">
      <c r="A834" s="19"/>
      <c r="B834" s="19"/>
      <c r="C834" s="19"/>
      <c r="D834" s="19"/>
      <c r="E834" s="19"/>
      <c r="F834" s="19"/>
    </row>
    <row r="835" ht="15.75" customHeight="1">
      <c r="A835" s="19"/>
      <c r="B835" s="19"/>
      <c r="C835" s="19"/>
      <c r="D835" s="19"/>
      <c r="E835" s="19"/>
      <c r="F835" s="19"/>
    </row>
    <row r="836" ht="15.75" customHeight="1">
      <c r="A836" s="19"/>
      <c r="B836" s="19"/>
      <c r="C836" s="19"/>
      <c r="D836" s="19"/>
      <c r="E836" s="19"/>
      <c r="F836" s="19"/>
    </row>
    <row r="837" ht="15.75" customHeight="1">
      <c r="A837" s="19"/>
      <c r="B837" s="19"/>
      <c r="C837" s="19"/>
      <c r="D837" s="19"/>
      <c r="E837" s="19"/>
      <c r="F837" s="19"/>
    </row>
    <row r="838" ht="15.75" customHeight="1">
      <c r="A838" s="19"/>
      <c r="B838" s="19"/>
      <c r="C838" s="19"/>
      <c r="D838" s="19"/>
      <c r="E838" s="19"/>
      <c r="F838" s="19"/>
    </row>
    <row r="839" ht="15.75" customHeight="1">
      <c r="A839" s="19"/>
      <c r="B839" s="19"/>
      <c r="C839" s="19"/>
      <c r="D839" s="19"/>
      <c r="E839" s="19"/>
      <c r="F839" s="19"/>
    </row>
    <row r="840" ht="15.75" customHeight="1">
      <c r="A840" s="19"/>
      <c r="B840" s="19"/>
      <c r="C840" s="19"/>
      <c r="D840" s="19"/>
      <c r="E840" s="19"/>
      <c r="F840" s="19"/>
    </row>
    <row r="841" ht="15.75" customHeight="1">
      <c r="A841" s="19"/>
      <c r="B841" s="19"/>
      <c r="C841" s="19"/>
      <c r="D841" s="19"/>
      <c r="E841" s="19"/>
      <c r="F841" s="19"/>
    </row>
    <row r="842" ht="15.75" customHeight="1">
      <c r="A842" s="19"/>
      <c r="B842" s="19"/>
      <c r="C842" s="19"/>
      <c r="D842" s="19"/>
      <c r="E842" s="19"/>
      <c r="F842" s="19"/>
    </row>
    <row r="843" ht="15.75" customHeight="1">
      <c r="A843" s="19"/>
      <c r="B843" s="19"/>
      <c r="C843" s="19"/>
      <c r="D843" s="19"/>
      <c r="E843" s="19"/>
      <c r="F843" s="19"/>
    </row>
    <row r="844" ht="15.75" customHeight="1">
      <c r="A844" s="19"/>
      <c r="B844" s="19"/>
      <c r="C844" s="19"/>
      <c r="D844" s="19"/>
      <c r="E844" s="19"/>
      <c r="F844" s="19"/>
    </row>
    <row r="845" ht="15.75" customHeight="1">
      <c r="A845" s="19"/>
      <c r="B845" s="19"/>
      <c r="C845" s="19"/>
      <c r="D845" s="19"/>
      <c r="E845" s="19"/>
      <c r="F845" s="19"/>
    </row>
    <row r="846" ht="15.75" customHeight="1">
      <c r="A846" s="19"/>
      <c r="B846" s="19"/>
      <c r="C846" s="19"/>
      <c r="D846" s="19"/>
      <c r="E846" s="19"/>
      <c r="F846" s="19"/>
    </row>
    <row r="847" ht="15.75" customHeight="1">
      <c r="A847" s="19"/>
      <c r="B847" s="19"/>
      <c r="C847" s="19"/>
      <c r="D847" s="19"/>
      <c r="E847" s="19"/>
      <c r="F847" s="19"/>
    </row>
    <row r="848" ht="15.75" customHeight="1">
      <c r="A848" s="19"/>
      <c r="B848" s="19"/>
      <c r="C848" s="19"/>
      <c r="D848" s="19"/>
      <c r="E848" s="19"/>
      <c r="F848" s="19"/>
    </row>
    <row r="849" ht="15.75" customHeight="1">
      <c r="A849" s="19"/>
      <c r="B849" s="19"/>
      <c r="C849" s="19"/>
      <c r="D849" s="19"/>
      <c r="E849" s="19"/>
      <c r="F849" s="19"/>
    </row>
    <row r="850" ht="15.75" customHeight="1">
      <c r="A850" s="19"/>
      <c r="B850" s="19"/>
      <c r="C850" s="19"/>
      <c r="D850" s="19"/>
      <c r="E850" s="19"/>
      <c r="F850" s="19"/>
    </row>
    <row r="851" ht="15.75" customHeight="1">
      <c r="A851" s="19"/>
      <c r="B851" s="19"/>
      <c r="C851" s="19"/>
      <c r="D851" s="19"/>
      <c r="E851" s="19"/>
      <c r="F851" s="19"/>
    </row>
    <row r="852" ht="15.75" customHeight="1">
      <c r="A852" s="19"/>
      <c r="B852" s="19"/>
      <c r="C852" s="19"/>
      <c r="D852" s="19"/>
      <c r="E852" s="19"/>
      <c r="F852" s="19"/>
    </row>
    <row r="853" ht="15.75" customHeight="1">
      <c r="A853" s="19"/>
      <c r="B853" s="19"/>
      <c r="C853" s="19"/>
      <c r="D853" s="19"/>
      <c r="E853" s="19"/>
      <c r="F853" s="19"/>
    </row>
    <row r="854" ht="15.75" customHeight="1">
      <c r="A854" s="19"/>
      <c r="B854" s="19"/>
      <c r="C854" s="19"/>
      <c r="D854" s="19"/>
      <c r="E854" s="19"/>
      <c r="F854" s="19"/>
    </row>
    <row r="855" ht="15.75" customHeight="1">
      <c r="A855" s="19"/>
      <c r="B855" s="19"/>
      <c r="C855" s="19"/>
      <c r="D855" s="19"/>
      <c r="E855" s="19"/>
      <c r="F855" s="19"/>
    </row>
    <row r="856" ht="15.75" customHeight="1">
      <c r="A856" s="19"/>
      <c r="B856" s="19"/>
      <c r="C856" s="19"/>
      <c r="D856" s="19"/>
      <c r="E856" s="19"/>
      <c r="F856" s="19"/>
    </row>
    <row r="857" ht="15.75" customHeight="1">
      <c r="A857" s="19"/>
      <c r="B857" s="19"/>
      <c r="C857" s="19"/>
      <c r="D857" s="19"/>
      <c r="E857" s="19"/>
      <c r="F857" s="19"/>
    </row>
    <row r="858" ht="15.75" customHeight="1">
      <c r="A858" s="19"/>
      <c r="B858" s="19"/>
      <c r="C858" s="19"/>
      <c r="D858" s="19"/>
      <c r="E858" s="19"/>
      <c r="F858" s="19"/>
    </row>
    <row r="859" ht="15.75" customHeight="1">
      <c r="A859" s="19"/>
      <c r="B859" s="19"/>
      <c r="C859" s="19"/>
      <c r="D859" s="19"/>
      <c r="E859" s="19"/>
      <c r="F859" s="19"/>
    </row>
    <row r="860" ht="15.75" customHeight="1">
      <c r="A860" s="19"/>
      <c r="B860" s="19"/>
      <c r="C860" s="19"/>
      <c r="D860" s="19"/>
      <c r="E860" s="19"/>
      <c r="F860" s="19"/>
    </row>
    <row r="861" ht="15.75" customHeight="1">
      <c r="A861" s="19"/>
      <c r="B861" s="19"/>
      <c r="C861" s="19"/>
      <c r="D861" s="19"/>
      <c r="E861" s="19"/>
      <c r="F861" s="19"/>
    </row>
    <row r="862" ht="15.75" customHeight="1">
      <c r="A862" s="19"/>
      <c r="B862" s="19"/>
      <c r="C862" s="19"/>
      <c r="D862" s="19"/>
      <c r="E862" s="19"/>
      <c r="F862" s="19"/>
    </row>
    <row r="863" ht="15.75" customHeight="1">
      <c r="A863" s="19"/>
      <c r="B863" s="19"/>
      <c r="C863" s="19"/>
      <c r="D863" s="19"/>
      <c r="E863" s="19"/>
      <c r="F863" s="19"/>
    </row>
    <row r="864" ht="15.75" customHeight="1">
      <c r="A864" s="19"/>
      <c r="B864" s="19"/>
      <c r="C864" s="19"/>
      <c r="D864" s="19"/>
      <c r="E864" s="19"/>
      <c r="F864" s="19"/>
    </row>
    <row r="865" ht="15.75" customHeight="1">
      <c r="A865" s="19"/>
      <c r="B865" s="19"/>
      <c r="C865" s="19"/>
      <c r="D865" s="19"/>
      <c r="E865" s="19"/>
      <c r="F865" s="19"/>
    </row>
    <row r="866" ht="15.75" customHeight="1">
      <c r="A866" s="19"/>
      <c r="B866" s="19"/>
      <c r="C866" s="19"/>
      <c r="D866" s="19"/>
      <c r="E866" s="19"/>
      <c r="F866" s="19"/>
    </row>
    <row r="867" ht="15.75" customHeight="1">
      <c r="A867" s="19"/>
      <c r="B867" s="19"/>
      <c r="C867" s="19"/>
      <c r="D867" s="19"/>
      <c r="E867" s="19"/>
      <c r="F867" s="19"/>
    </row>
    <row r="868" ht="15.75" customHeight="1">
      <c r="A868" s="19"/>
      <c r="B868" s="19"/>
      <c r="C868" s="19"/>
      <c r="D868" s="19"/>
      <c r="E868" s="19"/>
      <c r="F868" s="19"/>
    </row>
    <row r="869" ht="15.75" customHeight="1">
      <c r="A869" s="19"/>
      <c r="B869" s="19"/>
      <c r="C869" s="19"/>
      <c r="D869" s="19"/>
      <c r="E869" s="19"/>
      <c r="F869" s="19"/>
    </row>
    <row r="870" ht="15.75" customHeight="1">
      <c r="A870" s="19"/>
      <c r="B870" s="19"/>
      <c r="C870" s="19"/>
      <c r="D870" s="19"/>
      <c r="E870" s="19"/>
      <c r="F870" s="19"/>
    </row>
    <row r="871" ht="15.75" customHeight="1">
      <c r="A871" s="19"/>
      <c r="B871" s="19"/>
      <c r="C871" s="19"/>
      <c r="D871" s="19"/>
      <c r="E871" s="19"/>
      <c r="F871" s="19"/>
    </row>
    <row r="872" ht="15.75" customHeight="1">
      <c r="A872" s="19"/>
      <c r="B872" s="19"/>
      <c r="C872" s="19"/>
      <c r="D872" s="19"/>
      <c r="E872" s="19"/>
      <c r="F872" s="19"/>
    </row>
    <row r="873" ht="15.75" customHeight="1">
      <c r="A873" s="19"/>
      <c r="B873" s="19"/>
      <c r="C873" s="19"/>
      <c r="D873" s="19"/>
      <c r="E873" s="19"/>
      <c r="F873" s="19"/>
    </row>
    <row r="874" ht="15.75" customHeight="1">
      <c r="A874" s="19"/>
      <c r="B874" s="19"/>
      <c r="C874" s="19"/>
      <c r="D874" s="19"/>
      <c r="E874" s="19"/>
      <c r="F874" s="19"/>
    </row>
    <row r="875" ht="15.75" customHeight="1">
      <c r="A875" s="19"/>
      <c r="B875" s="19"/>
      <c r="C875" s="19"/>
      <c r="D875" s="19"/>
      <c r="E875" s="19"/>
      <c r="F875" s="19"/>
    </row>
    <row r="876" ht="15.75" customHeight="1">
      <c r="A876" s="19"/>
      <c r="B876" s="19"/>
      <c r="C876" s="19"/>
      <c r="D876" s="19"/>
      <c r="E876" s="19"/>
      <c r="F876" s="19"/>
    </row>
    <row r="877" ht="15.75" customHeight="1">
      <c r="A877" s="19"/>
      <c r="B877" s="19"/>
      <c r="C877" s="19"/>
      <c r="D877" s="19"/>
      <c r="E877" s="19"/>
      <c r="F877" s="19"/>
    </row>
    <row r="878" ht="15.75" customHeight="1">
      <c r="A878" s="19"/>
      <c r="B878" s="19"/>
      <c r="C878" s="19"/>
      <c r="D878" s="19"/>
      <c r="E878" s="19"/>
      <c r="F878" s="19"/>
    </row>
    <row r="879" ht="15.75" customHeight="1">
      <c r="A879" s="19"/>
      <c r="B879" s="19"/>
      <c r="C879" s="19"/>
      <c r="D879" s="19"/>
      <c r="E879" s="19"/>
      <c r="F879" s="19"/>
    </row>
    <row r="880" ht="15.75" customHeight="1">
      <c r="A880" s="19"/>
      <c r="B880" s="19"/>
      <c r="C880" s="19"/>
      <c r="D880" s="19"/>
      <c r="E880" s="19"/>
      <c r="F880" s="19"/>
    </row>
    <row r="881" ht="15.75" customHeight="1">
      <c r="A881" s="19"/>
      <c r="B881" s="19"/>
      <c r="C881" s="19"/>
      <c r="D881" s="19"/>
      <c r="E881" s="19"/>
      <c r="F881" s="19"/>
    </row>
    <row r="882" ht="15.75" customHeight="1">
      <c r="A882" s="19"/>
      <c r="B882" s="19"/>
      <c r="C882" s="19"/>
      <c r="D882" s="19"/>
      <c r="E882" s="19"/>
      <c r="F882" s="19"/>
    </row>
    <row r="883" ht="15.75" customHeight="1">
      <c r="A883" s="19"/>
      <c r="B883" s="19"/>
      <c r="C883" s="19"/>
      <c r="D883" s="19"/>
      <c r="E883" s="19"/>
      <c r="F883" s="19"/>
    </row>
    <row r="884" ht="15.75" customHeight="1">
      <c r="A884" s="19"/>
      <c r="B884" s="19"/>
      <c r="C884" s="19"/>
      <c r="D884" s="19"/>
      <c r="E884" s="19"/>
      <c r="F884" s="19"/>
    </row>
    <row r="885" ht="15.75" customHeight="1">
      <c r="A885" s="19"/>
      <c r="B885" s="19"/>
      <c r="C885" s="19"/>
      <c r="D885" s="19"/>
      <c r="E885" s="19"/>
      <c r="F885" s="19"/>
    </row>
    <row r="886" ht="15.75" customHeight="1">
      <c r="A886" s="19"/>
      <c r="B886" s="19"/>
      <c r="C886" s="19"/>
      <c r="D886" s="19"/>
      <c r="E886" s="19"/>
      <c r="F886" s="19"/>
    </row>
    <row r="887" ht="15.75" customHeight="1">
      <c r="A887" s="19"/>
      <c r="B887" s="19"/>
      <c r="C887" s="19"/>
      <c r="D887" s="19"/>
      <c r="E887" s="19"/>
      <c r="F887" s="19"/>
    </row>
    <row r="888" ht="15.75" customHeight="1">
      <c r="A888" s="19"/>
      <c r="B888" s="19"/>
      <c r="C888" s="19"/>
      <c r="D888" s="19"/>
      <c r="E888" s="19"/>
      <c r="F888" s="19"/>
    </row>
    <row r="889" ht="15.75" customHeight="1">
      <c r="A889" s="19"/>
      <c r="B889" s="19"/>
      <c r="C889" s="19"/>
      <c r="D889" s="19"/>
      <c r="E889" s="19"/>
      <c r="F889" s="19"/>
    </row>
    <row r="890" ht="15.75" customHeight="1">
      <c r="A890" s="19"/>
      <c r="B890" s="19"/>
      <c r="C890" s="19"/>
      <c r="D890" s="19"/>
      <c r="E890" s="19"/>
      <c r="F890" s="19"/>
    </row>
    <row r="891" ht="15.75" customHeight="1">
      <c r="A891" s="19"/>
      <c r="B891" s="19"/>
      <c r="C891" s="19"/>
      <c r="D891" s="19"/>
      <c r="E891" s="19"/>
      <c r="F891" s="19"/>
    </row>
    <row r="892" ht="15.75" customHeight="1">
      <c r="A892" s="19"/>
      <c r="B892" s="19"/>
      <c r="C892" s="19"/>
      <c r="D892" s="19"/>
      <c r="E892" s="19"/>
      <c r="F892" s="19"/>
    </row>
    <row r="893" ht="15.75" customHeight="1">
      <c r="A893" s="19"/>
      <c r="B893" s="19"/>
      <c r="C893" s="19"/>
      <c r="D893" s="19"/>
      <c r="E893" s="19"/>
      <c r="F893" s="19"/>
    </row>
    <row r="894" ht="15.75" customHeight="1">
      <c r="A894" s="19"/>
      <c r="B894" s="19"/>
      <c r="C894" s="19"/>
      <c r="D894" s="19"/>
      <c r="E894" s="19"/>
      <c r="F894" s="19"/>
    </row>
    <row r="895" ht="15.75" customHeight="1">
      <c r="A895" s="19"/>
      <c r="B895" s="19"/>
      <c r="C895" s="19"/>
      <c r="D895" s="19"/>
      <c r="E895" s="19"/>
      <c r="F895" s="19"/>
    </row>
    <row r="896" ht="15.75" customHeight="1">
      <c r="A896" s="19"/>
      <c r="B896" s="19"/>
      <c r="C896" s="19"/>
      <c r="D896" s="19"/>
      <c r="E896" s="19"/>
      <c r="F896" s="19"/>
    </row>
    <row r="897" ht="15.75" customHeight="1">
      <c r="A897" s="19"/>
      <c r="B897" s="19"/>
      <c r="C897" s="19"/>
      <c r="D897" s="19"/>
      <c r="E897" s="19"/>
      <c r="F897" s="19"/>
    </row>
    <row r="898" ht="15.75" customHeight="1">
      <c r="A898" s="19"/>
      <c r="B898" s="19"/>
      <c r="C898" s="19"/>
      <c r="D898" s="19"/>
      <c r="E898" s="19"/>
      <c r="F898" s="19"/>
    </row>
    <row r="899" ht="15.75" customHeight="1">
      <c r="A899" s="19"/>
      <c r="B899" s="19"/>
      <c r="C899" s="19"/>
      <c r="D899" s="19"/>
      <c r="E899" s="19"/>
      <c r="F899" s="19"/>
    </row>
    <row r="900" ht="15.75" customHeight="1">
      <c r="A900" s="19"/>
      <c r="B900" s="19"/>
      <c r="C900" s="19"/>
      <c r="D900" s="19"/>
      <c r="E900" s="19"/>
      <c r="F900" s="19"/>
    </row>
    <row r="901" ht="15.75" customHeight="1">
      <c r="A901" s="19"/>
      <c r="B901" s="19"/>
      <c r="C901" s="19"/>
      <c r="D901" s="19"/>
      <c r="E901" s="19"/>
      <c r="F901" s="19"/>
    </row>
    <row r="902" ht="15.75" customHeight="1">
      <c r="A902" s="19"/>
      <c r="B902" s="19"/>
      <c r="C902" s="19"/>
      <c r="D902" s="19"/>
      <c r="E902" s="19"/>
      <c r="F902" s="19"/>
    </row>
    <row r="903" ht="15.75" customHeight="1">
      <c r="A903" s="19"/>
      <c r="B903" s="19"/>
      <c r="C903" s="19"/>
      <c r="D903" s="19"/>
      <c r="E903" s="19"/>
      <c r="F903" s="19"/>
    </row>
    <row r="904" ht="15.75" customHeight="1">
      <c r="A904" s="19"/>
      <c r="B904" s="19"/>
      <c r="C904" s="19"/>
      <c r="D904" s="19"/>
      <c r="E904" s="19"/>
      <c r="F904" s="19"/>
    </row>
    <row r="905" ht="15.75" customHeight="1">
      <c r="A905" s="19"/>
      <c r="B905" s="19"/>
      <c r="C905" s="19"/>
      <c r="D905" s="19"/>
      <c r="E905" s="19"/>
      <c r="F905" s="19"/>
    </row>
    <row r="906" ht="15.75" customHeight="1">
      <c r="A906" s="19"/>
      <c r="B906" s="19"/>
      <c r="C906" s="19"/>
      <c r="D906" s="19"/>
      <c r="E906" s="19"/>
      <c r="F906" s="19"/>
    </row>
    <row r="907" ht="15.75" customHeight="1">
      <c r="A907" s="19"/>
      <c r="B907" s="19"/>
      <c r="C907" s="19"/>
      <c r="D907" s="19"/>
      <c r="E907" s="19"/>
      <c r="F907" s="19"/>
    </row>
    <row r="908" ht="15.75" customHeight="1">
      <c r="A908" s="19"/>
      <c r="B908" s="19"/>
      <c r="C908" s="19"/>
      <c r="D908" s="19"/>
      <c r="E908" s="19"/>
      <c r="F908" s="19"/>
    </row>
    <row r="909" ht="15.75" customHeight="1">
      <c r="A909" s="19"/>
      <c r="B909" s="19"/>
      <c r="C909" s="19"/>
      <c r="D909" s="19"/>
      <c r="E909" s="19"/>
      <c r="F909" s="19"/>
    </row>
    <row r="910" ht="15.75" customHeight="1">
      <c r="A910" s="19"/>
      <c r="B910" s="19"/>
      <c r="C910" s="19"/>
      <c r="D910" s="19"/>
      <c r="E910" s="19"/>
      <c r="F910" s="19"/>
    </row>
    <row r="911" ht="15.75" customHeight="1">
      <c r="A911" s="19"/>
      <c r="B911" s="19"/>
      <c r="C911" s="19"/>
      <c r="D911" s="19"/>
      <c r="E911" s="19"/>
      <c r="F911" s="19"/>
    </row>
    <row r="912" ht="15.75" customHeight="1">
      <c r="A912" s="19"/>
      <c r="B912" s="19"/>
      <c r="C912" s="19"/>
      <c r="D912" s="19"/>
      <c r="E912" s="19"/>
      <c r="F912" s="19"/>
    </row>
    <row r="913" ht="15.75" customHeight="1">
      <c r="A913" s="19"/>
      <c r="B913" s="19"/>
      <c r="C913" s="19"/>
      <c r="D913" s="19"/>
      <c r="E913" s="19"/>
      <c r="F913" s="19"/>
    </row>
    <row r="914" ht="15.75" customHeight="1">
      <c r="A914" s="19"/>
      <c r="B914" s="19"/>
      <c r="C914" s="19"/>
      <c r="D914" s="19"/>
      <c r="E914" s="19"/>
      <c r="F914" s="19"/>
    </row>
    <row r="915" ht="15.75" customHeight="1">
      <c r="A915" s="19"/>
      <c r="B915" s="19"/>
      <c r="C915" s="19"/>
      <c r="D915" s="19"/>
      <c r="E915" s="19"/>
      <c r="F915" s="19"/>
    </row>
    <row r="916" ht="15.75" customHeight="1">
      <c r="A916" s="19"/>
      <c r="B916" s="19"/>
      <c r="C916" s="19"/>
      <c r="D916" s="19"/>
      <c r="E916" s="19"/>
      <c r="F916" s="19"/>
    </row>
    <row r="917" ht="15.75" customHeight="1">
      <c r="A917" s="19"/>
      <c r="B917" s="19"/>
      <c r="C917" s="19"/>
      <c r="D917" s="19"/>
      <c r="E917" s="19"/>
      <c r="F917" s="19"/>
    </row>
    <row r="918" ht="15.75" customHeight="1">
      <c r="A918" s="19"/>
      <c r="B918" s="19"/>
      <c r="C918" s="19"/>
      <c r="D918" s="19"/>
      <c r="E918" s="19"/>
      <c r="F918" s="19"/>
    </row>
    <row r="919" ht="15.75" customHeight="1">
      <c r="A919" s="19"/>
      <c r="B919" s="19"/>
      <c r="C919" s="19"/>
      <c r="D919" s="19"/>
      <c r="E919" s="19"/>
      <c r="F919" s="19"/>
    </row>
    <row r="920" ht="15.75" customHeight="1">
      <c r="A920" s="19"/>
      <c r="B920" s="19"/>
      <c r="C920" s="19"/>
      <c r="D920" s="19"/>
      <c r="E920" s="19"/>
      <c r="F920" s="19"/>
    </row>
    <row r="921" ht="15.75" customHeight="1">
      <c r="A921" s="19"/>
      <c r="B921" s="19"/>
      <c r="C921" s="19"/>
      <c r="D921" s="19"/>
      <c r="E921" s="19"/>
      <c r="F921" s="19"/>
    </row>
    <row r="922" ht="15.75" customHeight="1">
      <c r="A922" s="19"/>
      <c r="B922" s="19"/>
      <c r="C922" s="19"/>
      <c r="D922" s="19"/>
      <c r="E922" s="19"/>
      <c r="F922" s="19"/>
    </row>
    <row r="923" ht="15.75" customHeight="1">
      <c r="A923" s="19"/>
      <c r="B923" s="19"/>
      <c r="C923" s="19"/>
      <c r="D923" s="19"/>
      <c r="E923" s="19"/>
      <c r="F923" s="19"/>
    </row>
    <row r="924" ht="15.75" customHeight="1">
      <c r="A924" s="19"/>
      <c r="B924" s="19"/>
      <c r="C924" s="19"/>
      <c r="D924" s="19"/>
      <c r="E924" s="19"/>
      <c r="F924" s="19"/>
    </row>
    <row r="925" ht="15.75" customHeight="1">
      <c r="A925" s="19"/>
      <c r="B925" s="19"/>
      <c r="C925" s="19"/>
      <c r="D925" s="19"/>
      <c r="E925" s="19"/>
      <c r="F925" s="19"/>
    </row>
    <row r="926" ht="15.75" customHeight="1">
      <c r="A926" s="19"/>
      <c r="B926" s="19"/>
      <c r="C926" s="19"/>
      <c r="D926" s="19"/>
      <c r="E926" s="19"/>
      <c r="F926" s="19"/>
    </row>
    <row r="927" ht="15.75" customHeight="1">
      <c r="A927" s="19"/>
      <c r="B927" s="19"/>
      <c r="C927" s="19"/>
      <c r="D927" s="19"/>
      <c r="E927" s="19"/>
      <c r="F927" s="19"/>
    </row>
    <row r="928" ht="15.75" customHeight="1">
      <c r="A928" s="19"/>
      <c r="B928" s="19"/>
      <c r="C928" s="19"/>
      <c r="D928" s="19"/>
      <c r="E928" s="19"/>
      <c r="F928" s="19"/>
    </row>
    <row r="929" ht="15.75" customHeight="1">
      <c r="A929" s="19"/>
      <c r="B929" s="19"/>
      <c r="C929" s="19"/>
      <c r="D929" s="19"/>
      <c r="E929" s="19"/>
      <c r="F929" s="19"/>
    </row>
    <row r="930" ht="15.75" customHeight="1">
      <c r="A930" s="19"/>
      <c r="B930" s="19"/>
      <c r="C930" s="19"/>
      <c r="D930" s="19"/>
      <c r="E930" s="19"/>
      <c r="F930" s="19"/>
    </row>
    <row r="931" ht="15.75" customHeight="1">
      <c r="A931" s="19"/>
      <c r="B931" s="19"/>
      <c r="C931" s="19"/>
      <c r="D931" s="19"/>
      <c r="E931" s="19"/>
      <c r="F931" s="19"/>
    </row>
    <row r="932" ht="15.75" customHeight="1">
      <c r="A932" s="19"/>
      <c r="B932" s="19"/>
      <c r="C932" s="19"/>
      <c r="D932" s="19"/>
      <c r="E932" s="19"/>
      <c r="F932" s="19"/>
    </row>
    <row r="933" ht="15.75" customHeight="1">
      <c r="A933" s="19"/>
      <c r="B933" s="19"/>
      <c r="C933" s="19"/>
      <c r="D933" s="19"/>
      <c r="E933" s="19"/>
      <c r="F933" s="19"/>
    </row>
    <row r="934" ht="15.75" customHeight="1">
      <c r="A934" s="19"/>
      <c r="B934" s="19"/>
      <c r="C934" s="19"/>
      <c r="D934" s="19"/>
      <c r="E934" s="19"/>
      <c r="F934" s="19"/>
    </row>
    <row r="935" ht="15.75" customHeight="1">
      <c r="A935" s="19"/>
      <c r="B935" s="19"/>
      <c r="C935" s="19"/>
      <c r="D935" s="19"/>
      <c r="E935" s="19"/>
      <c r="F935" s="19"/>
    </row>
    <row r="936" ht="15.75" customHeight="1">
      <c r="A936" s="19"/>
      <c r="B936" s="19"/>
      <c r="C936" s="19"/>
      <c r="D936" s="19"/>
      <c r="E936" s="19"/>
      <c r="F936" s="19"/>
    </row>
    <row r="937" ht="15.75" customHeight="1">
      <c r="A937" s="19"/>
      <c r="B937" s="19"/>
      <c r="C937" s="19"/>
      <c r="D937" s="19"/>
      <c r="E937" s="19"/>
      <c r="F937" s="19"/>
    </row>
    <row r="938" ht="15.75" customHeight="1">
      <c r="A938" s="19"/>
      <c r="B938" s="19"/>
      <c r="C938" s="19"/>
      <c r="D938" s="19"/>
      <c r="E938" s="19"/>
      <c r="F938" s="19"/>
    </row>
    <row r="939" ht="15.75" customHeight="1">
      <c r="A939" s="19"/>
      <c r="B939" s="19"/>
      <c r="C939" s="19"/>
      <c r="D939" s="19"/>
      <c r="E939" s="19"/>
      <c r="F939" s="19"/>
    </row>
    <row r="940" ht="15.75" customHeight="1">
      <c r="A940" s="19"/>
      <c r="B940" s="19"/>
      <c r="C940" s="19"/>
      <c r="D940" s="19"/>
      <c r="E940" s="19"/>
      <c r="F940" s="19"/>
    </row>
    <row r="941" ht="15.75" customHeight="1">
      <c r="A941" s="19"/>
      <c r="B941" s="19"/>
      <c r="C941" s="19"/>
      <c r="D941" s="19"/>
      <c r="E941" s="19"/>
      <c r="F941" s="19"/>
    </row>
    <row r="942" ht="15.75" customHeight="1">
      <c r="A942" s="19"/>
      <c r="B942" s="19"/>
      <c r="C942" s="19"/>
      <c r="D942" s="19"/>
      <c r="E942" s="19"/>
      <c r="F942" s="19"/>
    </row>
    <row r="943" ht="15.75" customHeight="1">
      <c r="A943" s="19"/>
      <c r="B943" s="19"/>
      <c r="C943" s="19"/>
      <c r="D943" s="19"/>
      <c r="E943" s="19"/>
      <c r="F943" s="19"/>
    </row>
    <row r="944" ht="15.75" customHeight="1">
      <c r="A944" s="19"/>
      <c r="B944" s="19"/>
      <c r="C944" s="19"/>
      <c r="D944" s="19"/>
      <c r="E944" s="19"/>
      <c r="F944" s="19"/>
    </row>
    <row r="945" ht="15.75" customHeight="1">
      <c r="A945" s="19"/>
      <c r="B945" s="19"/>
      <c r="C945" s="19"/>
      <c r="D945" s="19"/>
      <c r="E945" s="19"/>
      <c r="F945" s="19"/>
    </row>
    <row r="946" ht="15.75" customHeight="1">
      <c r="A946" s="19"/>
      <c r="B946" s="19"/>
      <c r="C946" s="19"/>
      <c r="D946" s="19"/>
      <c r="E946" s="19"/>
      <c r="F946" s="19"/>
    </row>
    <row r="947" ht="15.75" customHeight="1">
      <c r="A947" s="19"/>
      <c r="B947" s="19"/>
      <c r="C947" s="19"/>
      <c r="D947" s="19"/>
      <c r="E947" s="19"/>
      <c r="F947" s="19"/>
    </row>
    <row r="948" ht="15.75" customHeight="1">
      <c r="A948" s="19"/>
      <c r="B948" s="19"/>
      <c r="C948" s="19"/>
      <c r="D948" s="19"/>
      <c r="E948" s="19"/>
      <c r="F948" s="19"/>
    </row>
    <row r="949" ht="15.75" customHeight="1">
      <c r="A949" s="19"/>
      <c r="B949" s="19"/>
      <c r="C949" s="19"/>
      <c r="D949" s="19"/>
      <c r="E949" s="19"/>
      <c r="F949" s="19"/>
    </row>
    <row r="950" ht="15.75" customHeight="1">
      <c r="A950" s="19"/>
      <c r="B950" s="19"/>
      <c r="C950" s="19"/>
      <c r="D950" s="19"/>
      <c r="E950" s="19"/>
      <c r="F950" s="19"/>
    </row>
    <row r="951" ht="15.75" customHeight="1">
      <c r="A951" s="19"/>
      <c r="B951" s="19"/>
      <c r="C951" s="19"/>
      <c r="D951" s="19"/>
      <c r="E951" s="19"/>
      <c r="F951" s="19"/>
    </row>
    <row r="952" ht="15.75" customHeight="1">
      <c r="A952" s="19"/>
      <c r="B952" s="19"/>
      <c r="C952" s="19"/>
      <c r="D952" s="19"/>
      <c r="E952" s="19"/>
      <c r="F952" s="19"/>
    </row>
    <row r="953" ht="15.75" customHeight="1">
      <c r="A953" s="19"/>
      <c r="B953" s="19"/>
      <c r="C953" s="19"/>
      <c r="D953" s="19"/>
      <c r="E953" s="19"/>
      <c r="F953" s="19"/>
    </row>
    <row r="954" ht="15.75" customHeight="1">
      <c r="A954" s="19"/>
      <c r="B954" s="19"/>
      <c r="C954" s="19"/>
      <c r="D954" s="19"/>
      <c r="E954" s="19"/>
      <c r="F954" s="19"/>
    </row>
    <row r="955" ht="15.75" customHeight="1">
      <c r="A955" s="19"/>
      <c r="B955" s="19"/>
      <c r="C955" s="19"/>
      <c r="D955" s="19"/>
      <c r="E955" s="19"/>
      <c r="F955" s="19"/>
    </row>
    <row r="956" ht="15.75" customHeight="1">
      <c r="A956" s="19"/>
      <c r="B956" s="19"/>
      <c r="C956" s="19"/>
      <c r="D956" s="19"/>
      <c r="E956" s="19"/>
      <c r="F956" s="19"/>
    </row>
    <row r="957" ht="15.75" customHeight="1">
      <c r="A957" s="19"/>
      <c r="B957" s="19"/>
      <c r="C957" s="19"/>
      <c r="D957" s="19"/>
      <c r="E957" s="19"/>
      <c r="F957" s="19"/>
    </row>
    <row r="958" ht="15.75" customHeight="1">
      <c r="A958" s="19"/>
      <c r="B958" s="19"/>
      <c r="C958" s="19"/>
      <c r="D958" s="19"/>
      <c r="E958" s="19"/>
      <c r="F958" s="19"/>
    </row>
    <row r="959" ht="15.75" customHeight="1">
      <c r="A959" s="19"/>
      <c r="B959" s="19"/>
      <c r="C959" s="19"/>
      <c r="D959" s="19"/>
      <c r="E959" s="19"/>
      <c r="F959" s="19"/>
    </row>
    <row r="960" ht="15.75" customHeight="1">
      <c r="A960" s="19"/>
      <c r="B960" s="19"/>
      <c r="C960" s="19"/>
      <c r="D960" s="19"/>
      <c r="E960" s="19"/>
      <c r="F960" s="19"/>
    </row>
    <row r="961" ht="15.75" customHeight="1">
      <c r="A961" s="19"/>
      <c r="B961" s="19"/>
      <c r="C961" s="19"/>
      <c r="D961" s="19"/>
      <c r="E961" s="19"/>
      <c r="F961" s="19"/>
    </row>
    <row r="962" ht="15.75" customHeight="1">
      <c r="A962" s="19"/>
      <c r="B962" s="19"/>
      <c r="C962" s="19"/>
      <c r="D962" s="19"/>
      <c r="E962" s="19"/>
      <c r="F962" s="19"/>
    </row>
    <row r="963" ht="15.75" customHeight="1">
      <c r="A963" s="19"/>
      <c r="B963" s="19"/>
      <c r="C963" s="19"/>
      <c r="D963" s="19"/>
      <c r="E963" s="19"/>
      <c r="F963" s="19"/>
    </row>
    <row r="964" ht="15.75" customHeight="1">
      <c r="A964" s="19"/>
      <c r="B964" s="19"/>
      <c r="C964" s="19"/>
      <c r="D964" s="19"/>
      <c r="E964" s="19"/>
      <c r="F964" s="19"/>
    </row>
    <row r="965" ht="15.75" customHeight="1">
      <c r="A965" s="19"/>
      <c r="B965" s="19"/>
      <c r="C965" s="19"/>
      <c r="D965" s="19"/>
      <c r="E965" s="19"/>
      <c r="F965" s="19"/>
    </row>
    <row r="966" ht="15.75" customHeight="1">
      <c r="A966" s="19"/>
      <c r="B966" s="19"/>
      <c r="C966" s="19"/>
      <c r="D966" s="19"/>
      <c r="E966" s="19"/>
      <c r="F966" s="19"/>
    </row>
    <row r="967" ht="15.75" customHeight="1">
      <c r="A967" s="19"/>
      <c r="B967" s="19"/>
      <c r="C967" s="19"/>
      <c r="D967" s="19"/>
      <c r="E967" s="19"/>
      <c r="F967" s="19"/>
    </row>
    <row r="968" ht="15.75" customHeight="1">
      <c r="A968" s="19"/>
      <c r="B968" s="19"/>
      <c r="C968" s="19"/>
      <c r="D968" s="19"/>
      <c r="E968" s="19"/>
      <c r="F968" s="19"/>
    </row>
    <row r="969" ht="15.75" customHeight="1">
      <c r="A969" s="19"/>
      <c r="B969" s="19"/>
      <c r="C969" s="19"/>
      <c r="D969" s="19"/>
      <c r="E969" s="19"/>
      <c r="F969" s="19"/>
    </row>
    <row r="970" ht="15.75" customHeight="1">
      <c r="A970" s="19"/>
      <c r="B970" s="19"/>
      <c r="C970" s="19"/>
      <c r="D970" s="19"/>
      <c r="E970" s="19"/>
      <c r="F970" s="19"/>
    </row>
    <row r="971" ht="15.75" customHeight="1">
      <c r="A971" s="19"/>
      <c r="B971" s="19"/>
      <c r="C971" s="19"/>
      <c r="D971" s="19"/>
      <c r="E971" s="19"/>
      <c r="F971" s="19"/>
    </row>
    <row r="972" ht="15.75" customHeight="1">
      <c r="A972" s="19"/>
      <c r="B972" s="19"/>
      <c r="C972" s="19"/>
      <c r="D972" s="19"/>
      <c r="E972" s="19"/>
      <c r="F972" s="19"/>
    </row>
    <row r="973" ht="15.75" customHeight="1">
      <c r="A973" s="19"/>
      <c r="B973" s="19"/>
      <c r="C973" s="19"/>
      <c r="D973" s="19"/>
      <c r="E973" s="19"/>
      <c r="F973" s="19"/>
    </row>
    <row r="974" ht="15.75" customHeight="1">
      <c r="A974" s="19"/>
      <c r="B974" s="19"/>
      <c r="C974" s="19"/>
      <c r="D974" s="19"/>
      <c r="E974" s="19"/>
      <c r="F974" s="19"/>
    </row>
    <row r="975" ht="15.75" customHeight="1">
      <c r="A975" s="19"/>
      <c r="B975" s="19"/>
      <c r="C975" s="19"/>
      <c r="D975" s="19"/>
      <c r="E975" s="19"/>
      <c r="F975" s="19"/>
    </row>
    <row r="976" ht="15.75" customHeight="1">
      <c r="A976" s="19"/>
      <c r="B976" s="19"/>
      <c r="C976" s="19"/>
      <c r="D976" s="19"/>
      <c r="E976" s="19"/>
      <c r="F976" s="19"/>
    </row>
    <row r="977" ht="15.75" customHeight="1">
      <c r="A977" s="19"/>
      <c r="B977" s="19"/>
      <c r="C977" s="19"/>
      <c r="D977" s="19"/>
      <c r="E977" s="19"/>
      <c r="F977" s="19"/>
    </row>
    <row r="978" ht="15.75" customHeight="1">
      <c r="A978" s="19"/>
      <c r="B978" s="19"/>
      <c r="C978" s="19"/>
      <c r="D978" s="19"/>
      <c r="E978" s="19"/>
      <c r="F978" s="19"/>
    </row>
    <row r="979" ht="15.75" customHeight="1">
      <c r="A979" s="19"/>
      <c r="B979" s="19"/>
      <c r="C979" s="19"/>
      <c r="D979" s="19"/>
      <c r="E979" s="19"/>
      <c r="F979" s="19"/>
    </row>
    <row r="980" ht="15.75" customHeight="1">
      <c r="A980" s="19"/>
      <c r="B980" s="19"/>
      <c r="C980" s="19"/>
      <c r="D980" s="19"/>
      <c r="E980" s="19"/>
      <c r="F980" s="19"/>
    </row>
    <row r="981" ht="15.75" customHeight="1">
      <c r="A981" s="19"/>
      <c r="B981" s="19"/>
      <c r="C981" s="19"/>
      <c r="D981" s="19"/>
      <c r="E981" s="19"/>
      <c r="F981" s="19"/>
    </row>
    <row r="982" ht="15.75" customHeight="1">
      <c r="A982" s="19"/>
      <c r="B982" s="19"/>
      <c r="C982" s="19"/>
      <c r="D982" s="19"/>
      <c r="E982" s="19"/>
      <c r="F982" s="19"/>
    </row>
    <row r="983" ht="15.75" customHeight="1">
      <c r="A983" s="19"/>
      <c r="B983" s="19"/>
      <c r="C983" s="19"/>
      <c r="D983" s="19"/>
      <c r="E983" s="19"/>
      <c r="F983" s="19"/>
    </row>
    <row r="984" ht="15.75" customHeight="1">
      <c r="A984" s="19"/>
      <c r="B984" s="19"/>
      <c r="C984" s="19"/>
      <c r="D984" s="19"/>
      <c r="E984" s="19"/>
      <c r="F984" s="19"/>
    </row>
    <row r="985" ht="15.75" customHeight="1">
      <c r="A985" s="19"/>
      <c r="B985" s="19"/>
      <c r="C985" s="19"/>
      <c r="D985" s="19"/>
      <c r="E985" s="19"/>
      <c r="F985" s="19"/>
    </row>
    <row r="986" ht="15.75" customHeight="1">
      <c r="A986" s="19"/>
      <c r="B986" s="19"/>
      <c r="C986" s="19"/>
      <c r="D986" s="19"/>
      <c r="E986" s="19"/>
      <c r="F986" s="19"/>
    </row>
    <row r="987" ht="15.75" customHeight="1">
      <c r="A987" s="19"/>
      <c r="B987" s="19"/>
      <c r="C987" s="19"/>
      <c r="D987" s="19"/>
      <c r="E987" s="19"/>
      <c r="F987" s="19"/>
    </row>
    <row r="988" ht="15.75" customHeight="1">
      <c r="A988" s="19"/>
      <c r="B988" s="19"/>
      <c r="C988" s="19"/>
      <c r="D988" s="19"/>
      <c r="E988" s="19"/>
      <c r="F988" s="19"/>
    </row>
    <row r="989" ht="15.75" customHeight="1">
      <c r="A989" s="19"/>
      <c r="B989" s="19"/>
      <c r="C989" s="19"/>
      <c r="D989" s="19"/>
      <c r="E989" s="19"/>
      <c r="F989" s="19"/>
    </row>
    <row r="990" ht="15.75" customHeight="1">
      <c r="A990" s="19"/>
      <c r="B990" s="19"/>
      <c r="C990" s="19"/>
      <c r="D990" s="19"/>
      <c r="E990" s="19"/>
      <c r="F990" s="19"/>
    </row>
    <row r="991" ht="15.75" customHeight="1">
      <c r="A991" s="19"/>
      <c r="B991" s="19"/>
      <c r="C991" s="19"/>
      <c r="D991" s="19"/>
      <c r="E991" s="19"/>
      <c r="F991" s="19"/>
    </row>
    <row r="992" ht="15.75" customHeight="1">
      <c r="A992" s="19"/>
      <c r="B992" s="19"/>
      <c r="C992" s="19"/>
      <c r="D992" s="19"/>
      <c r="E992" s="19"/>
      <c r="F992" s="19"/>
    </row>
    <row r="993" ht="15.75" customHeight="1">
      <c r="A993" s="19"/>
      <c r="B993" s="19"/>
      <c r="C993" s="19"/>
      <c r="D993" s="19"/>
      <c r="E993" s="19"/>
      <c r="F993" s="19"/>
    </row>
    <row r="994" ht="15.75" customHeight="1">
      <c r="A994" s="19"/>
      <c r="B994" s="19"/>
      <c r="C994" s="19"/>
      <c r="D994" s="19"/>
      <c r="E994" s="19"/>
      <c r="F994" s="19"/>
    </row>
    <row r="995" ht="15.75" customHeight="1">
      <c r="A995" s="19"/>
      <c r="B995" s="19"/>
      <c r="C995" s="19"/>
      <c r="D995" s="19"/>
      <c r="E995" s="19"/>
      <c r="F995" s="19"/>
    </row>
    <row r="996" ht="15.75" customHeight="1">
      <c r="A996" s="19"/>
      <c r="B996" s="19"/>
      <c r="C996" s="19"/>
      <c r="D996" s="19"/>
      <c r="E996" s="19"/>
      <c r="F996" s="19"/>
    </row>
    <row r="997" ht="15.75" customHeight="1">
      <c r="A997" s="19"/>
      <c r="B997" s="19"/>
      <c r="C997" s="19"/>
      <c r="D997" s="19"/>
      <c r="E997" s="19"/>
      <c r="F997" s="19"/>
    </row>
    <row r="998" ht="15.75" customHeight="1">
      <c r="A998" s="19"/>
      <c r="B998" s="19"/>
      <c r="C998" s="19"/>
      <c r="D998" s="19"/>
      <c r="E998" s="19"/>
      <c r="F998" s="19"/>
    </row>
    <row r="999" ht="15.75" customHeight="1">
      <c r="A999" s="19"/>
      <c r="B999" s="19"/>
      <c r="C999" s="19"/>
      <c r="D999" s="19"/>
      <c r="E999" s="19"/>
      <c r="F999" s="19"/>
    </row>
    <row r="1000" ht="15.75" customHeight="1">
      <c r="A1000" s="19"/>
      <c r="B1000" s="19"/>
      <c r="C1000" s="19"/>
      <c r="D1000" s="19"/>
      <c r="E1000" s="19"/>
      <c r="F1000" s="19"/>
    </row>
  </sheetData>
  <mergeCells count="1">
    <mergeCell ref="A1:C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3.71"/>
    <col customWidth="1" min="2" max="6" width="14.43"/>
  </cols>
  <sheetData>
    <row r="1">
      <c r="A1" s="29" t="s">
        <v>3149</v>
      </c>
      <c r="B1" s="19"/>
      <c r="C1" s="19"/>
      <c r="D1" s="19"/>
      <c r="E1" s="19"/>
      <c r="F1" s="19"/>
    </row>
    <row r="2">
      <c r="A2" s="19"/>
      <c r="B2" s="19"/>
      <c r="C2" s="19"/>
      <c r="D2" s="19"/>
      <c r="E2" s="19"/>
      <c r="F2" s="19"/>
    </row>
    <row r="3">
      <c r="A3" s="19"/>
      <c r="B3" s="19"/>
      <c r="C3" s="19"/>
      <c r="D3" s="19"/>
      <c r="E3" s="19"/>
      <c r="F3" s="19"/>
    </row>
    <row r="4">
      <c r="A4" s="19"/>
      <c r="B4" s="19"/>
      <c r="C4" s="19"/>
      <c r="D4" s="19"/>
      <c r="E4" s="19"/>
      <c r="F4" s="19"/>
    </row>
    <row r="5">
      <c r="A5" s="19"/>
      <c r="B5" s="19"/>
      <c r="C5" s="19"/>
      <c r="D5" s="19"/>
      <c r="E5" s="19"/>
      <c r="F5" s="19"/>
    </row>
    <row r="6">
      <c r="A6" s="19"/>
      <c r="B6" s="19"/>
      <c r="C6" s="19"/>
      <c r="D6" s="19"/>
      <c r="E6" s="19"/>
      <c r="F6" s="19"/>
    </row>
    <row r="7">
      <c r="A7" s="19"/>
      <c r="B7" s="19"/>
      <c r="C7" s="19"/>
      <c r="D7" s="19"/>
      <c r="E7" s="19"/>
      <c r="F7" s="19"/>
    </row>
    <row r="8">
      <c r="A8" s="19"/>
      <c r="B8" s="19"/>
      <c r="C8" s="19"/>
      <c r="D8" s="19"/>
      <c r="E8" s="19"/>
      <c r="F8" s="19"/>
    </row>
    <row r="9">
      <c r="A9" s="19"/>
      <c r="B9" s="19"/>
      <c r="C9" s="19"/>
      <c r="D9" s="19"/>
      <c r="E9" s="19"/>
      <c r="F9" s="19"/>
    </row>
    <row r="10">
      <c r="A10" s="19"/>
      <c r="B10" s="19"/>
      <c r="C10" s="19"/>
      <c r="D10" s="19"/>
      <c r="E10" s="19"/>
      <c r="F10" s="19"/>
    </row>
    <row r="11">
      <c r="A11" s="19"/>
      <c r="B11" s="19"/>
      <c r="C11" s="19"/>
      <c r="D11" s="19"/>
      <c r="E11" s="19"/>
      <c r="F11" s="19"/>
    </row>
    <row r="12">
      <c r="A12" s="19"/>
      <c r="B12" s="19"/>
      <c r="C12" s="19"/>
      <c r="D12" s="19"/>
      <c r="E12" s="19"/>
      <c r="F12" s="19"/>
    </row>
    <row r="13">
      <c r="A13" s="19"/>
      <c r="B13" s="19"/>
      <c r="C13" s="19"/>
      <c r="D13" s="19"/>
      <c r="E13" s="19"/>
      <c r="F13" s="19"/>
    </row>
    <row r="14">
      <c r="A14" s="19"/>
      <c r="B14" s="19"/>
      <c r="C14" s="19"/>
      <c r="D14" s="19"/>
      <c r="E14" s="19"/>
      <c r="F14" s="19"/>
    </row>
    <row r="15">
      <c r="A15" s="19"/>
      <c r="B15" s="19"/>
      <c r="C15" s="19"/>
      <c r="D15" s="19"/>
      <c r="E15" s="19"/>
      <c r="F15" s="19"/>
    </row>
    <row r="16">
      <c r="A16" s="19"/>
      <c r="B16" s="19"/>
      <c r="C16" s="19"/>
      <c r="D16" s="19"/>
      <c r="E16" s="19"/>
      <c r="F16" s="19"/>
    </row>
    <row r="17">
      <c r="A17" s="19"/>
      <c r="B17" s="19"/>
      <c r="C17" s="19"/>
      <c r="D17" s="19"/>
      <c r="E17" s="19"/>
      <c r="F17" s="19"/>
    </row>
    <row r="18">
      <c r="A18" s="19"/>
      <c r="B18" s="19"/>
      <c r="C18" s="19"/>
      <c r="D18" s="19"/>
      <c r="E18" s="19"/>
      <c r="F18" s="19"/>
    </row>
    <row r="19">
      <c r="A19" s="19"/>
      <c r="B19" s="19"/>
      <c r="C19" s="19"/>
      <c r="D19" s="19"/>
      <c r="E19" s="19"/>
      <c r="F19" s="19"/>
    </row>
    <row r="20">
      <c r="A20" s="19"/>
      <c r="B20" s="19"/>
      <c r="C20" s="19"/>
      <c r="D20" s="19"/>
      <c r="E20" s="19"/>
      <c r="F20" s="19"/>
    </row>
    <row r="21" ht="15.75" customHeight="1">
      <c r="A21" s="19"/>
      <c r="B21" s="19"/>
      <c r="C21" s="19"/>
      <c r="D21" s="19"/>
      <c r="E21" s="19"/>
      <c r="F21" s="19"/>
    </row>
    <row r="22" ht="15.75" customHeight="1">
      <c r="A22" s="19"/>
      <c r="B22" s="19"/>
      <c r="C22" s="19"/>
      <c r="D22" s="19"/>
      <c r="E22" s="19"/>
      <c r="F22" s="19"/>
    </row>
    <row r="23" ht="15.75" customHeight="1">
      <c r="A23" s="19"/>
      <c r="B23" s="19"/>
      <c r="C23" s="19"/>
      <c r="D23" s="19"/>
      <c r="E23" s="19"/>
      <c r="F23" s="19"/>
    </row>
    <row r="24" ht="15.75" customHeight="1">
      <c r="A24" s="19"/>
      <c r="B24" s="19"/>
      <c r="C24" s="19"/>
      <c r="D24" s="19"/>
      <c r="E24" s="19"/>
      <c r="F24" s="19"/>
    </row>
    <row r="25" ht="15.75" customHeight="1">
      <c r="A25" s="19"/>
      <c r="B25" s="19"/>
      <c r="C25" s="19"/>
      <c r="D25" s="19"/>
      <c r="E25" s="19"/>
      <c r="F25" s="19"/>
    </row>
    <row r="26" ht="15.75" customHeight="1">
      <c r="A26" s="19"/>
      <c r="B26" s="19"/>
      <c r="C26" s="19"/>
      <c r="D26" s="19"/>
      <c r="E26" s="19"/>
      <c r="F26" s="19"/>
    </row>
    <row r="27" ht="15.75" customHeight="1">
      <c r="A27" s="19"/>
      <c r="B27" s="19"/>
      <c r="C27" s="19"/>
      <c r="D27" s="19"/>
      <c r="E27" s="19"/>
      <c r="F27" s="19"/>
    </row>
    <row r="28" ht="15.75" customHeight="1">
      <c r="A28" s="19"/>
      <c r="B28" s="19"/>
      <c r="C28" s="19"/>
      <c r="D28" s="19"/>
      <c r="E28" s="19"/>
      <c r="F28" s="19"/>
    </row>
    <row r="29" ht="15.75" customHeight="1">
      <c r="A29" s="19"/>
      <c r="B29" s="19"/>
      <c r="C29" s="19"/>
      <c r="D29" s="19"/>
      <c r="E29" s="19"/>
      <c r="F29" s="19"/>
    </row>
    <row r="30" ht="15.75" customHeight="1">
      <c r="A30" s="19"/>
      <c r="B30" s="19"/>
      <c r="C30" s="19"/>
      <c r="D30" s="19"/>
      <c r="E30" s="19"/>
      <c r="F30" s="19"/>
    </row>
    <row r="31" ht="15.75" customHeight="1">
      <c r="A31" s="19"/>
      <c r="B31" s="19"/>
      <c r="C31" s="19"/>
      <c r="D31" s="19"/>
      <c r="E31" s="19"/>
      <c r="F31" s="19"/>
    </row>
    <row r="32" ht="15.75" customHeight="1">
      <c r="A32" s="19"/>
      <c r="B32" s="19"/>
      <c r="C32" s="19"/>
      <c r="D32" s="19"/>
      <c r="E32" s="19"/>
      <c r="F32" s="19"/>
    </row>
    <row r="33" ht="15.75" customHeight="1">
      <c r="A33" s="19"/>
      <c r="B33" s="19"/>
      <c r="C33" s="19"/>
      <c r="D33" s="19"/>
      <c r="E33" s="19"/>
      <c r="F33" s="19"/>
    </row>
    <row r="34" ht="15.75" customHeight="1">
      <c r="A34" s="19"/>
      <c r="B34" s="19"/>
      <c r="C34" s="19"/>
      <c r="D34" s="19"/>
      <c r="E34" s="19"/>
      <c r="F34" s="19"/>
    </row>
    <row r="35" ht="15.75" customHeight="1">
      <c r="A35" s="19"/>
      <c r="B35" s="19"/>
      <c r="C35" s="19"/>
      <c r="D35" s="19"/>
      <c r="E35" s="19"/>
      <c r="F35" s="19"/>
    </row>
    <row r="36" ht="15.75" customHeight="1">
      <c r="A36" s="19"/>
      <c r="B36" s="19"/>
      <c r="C36" s="19"/>
      <c r="D36" s="19"/>
      <c r="E36" s="19"/>
      <c r="F36" s="19"/>
    </row>
    <row r="37" ht="15.75" customHeight="1">
      <c r="A37" s="19"/>
      <c r="B37" s="19"/>
      <c r="C37" s="19"/>
      <c r="D37" s="19"/>
      <c r="E37" s="19"/>
      <c r="F37" s="19"/>
    </row>
    <row r="38" ht="15.75" customHeight="1">
      <c r="A38" s="19"/>
      <c r="B38" s="19"/>
      <c r="C38" s="19"/>
      <c r="D38" s="19"/>
      <c r="E38" s="19"/>
      <c r="F38" s="19"/>
    </row>
    <row r="39" ht="15.75" customHeight="1">
      <c r="A39" s="19"/>
      <c r="B39" s="19"/>
      <c r="C39" s="19"/>
      <c r="D39" s="19"/>
      <c r="E39" s="19"/>
      <c r="F39" s="19"/>
    </row>
    <row r="40" ht="15.75" customHeight="1">
      <c r="A40" s="19"/>
      <c r="B40" s="19"/>
      <c r="C40" s="19"/>
      <c r="D40" s="19"/>
      <c r="E40" s="19"/>
      <c r="F40" s="19"/>
    </row>
    <row r="41" ht="15.75" customHeight="1">
      <c r="A41" s="19"/>
      <c r="B41" s="19"/>
      <c r="C41" s="19"/>
      <c r="D41" s="19"/>
      <c r="E41" s="19"/>
      <c r="F41" s="19"/>
    </row>
    <row r="42" ht="15.75" customHeight="1">
      <c r="A42" s="19"/>
      <c r="B42" s="19"/>
      <c r="C42" s="19"/>
      <c r="D42" s="19"/>
      <c r="E42" s="19"/>
      <c r="F42" s="19"/>
    </row>
    <row r="43" ht="15.75" customHeight="1">
      <c r="A43" s="19"/>
      <c r="B43" s="19"/>
      <c r="C43" s="19"/>
      <c r="D43" s="19"/>
      <c r="E43" s="19"/>
      <c r="F43" s="19"/>
    </row>
    <row r="44" ht="15.75" customHeight="1">
      <c r="A44" s="19"/>
      <c r="B44" s="19"/>
      <c r="C44" s="19"/>
      <c r="D44" s="19"/>
      <c r="E44" s="19"/>
      <c r="F44" s="19"/>
    </row>
    <row r="45" ht="15.75" customHeight="1">
      <c r="A45" s="19"/>
      <c r="B45" s="19"/>
      <c r="C45" s="19"/>
      <c r="D45" s="19"/>
      <c r="E45" s="19"/>
      <c r="F45" s="19"/>
    </row>
    <row r="46" ht="15.75" customHeight="1">
      <c r="A46" s="19"/>
      <c r="B46" s="19"/>
      <c r="C46" s="19"/>
      <c r="D46" s="19"/>
      <c r="E46" s="19"/>
      <c r="F46" s="19"/>
    </row>
    <row r="47" ht="15.75" customHeight="1">
      <c r="A47" s="19"/>
      <c r="B47" s="19"/>
      <c r="C47" s="19"/>
      <c r="D47" s="19"/>
      <c r="E47" s="19"/>
      <c r="F47" s="19"/>
    </row>
    <row r="48" ht="15.75" customHeight="1">
      <c r="A48" s="19"/>
      <c r="B48" s="19"/>
      <c r="C48" s="19"/>
      <c r="D48" s="19"/>
      <c r="E48" s="19"/>
      <c r="F48" s="19"/>
    </row>
    <row r="49" ht="15.75" customHeight="1">
      <c r="A49" s="19"/>
      <c r="B49" s="19"/>
      <c r="C49" s="19"/>
      <c r="D49" s="19"/>
      <c r="E49" s="19"/>
      <c r="F49" s="19"/>
    </row>
    <row r="50" ht="15.75" customHeight="1">
      <c r="A50" s="19"/>
      <c r="B50" s="19"/>
      <c r="C50" s="19"/>
      <c r="D50" s="19"/>
      <c r="E50" s="19"/>
      <c r="F50" s="19"/>
    </row>
    <row r="51" ht="15.75" customHeight="1">
      <c r="A51" s="19"/>
      <c r="B51" s="19"/>
      <c r="C51" s="19"/>
      <c r="D51" s="19"/>
      <c r="E51" s="19"/>
      <c r="F51" s="19"/>
    </row>
    <row r="52" ht="15.75" customHeight="1">
      <c r="A52" s="19"/>
      <c r="B52" s="19"/>
      <c r="C52" s="19"/>
      <c r="D52" s="19"/>
      <c r="E52" s="19"/>
      <c r="F52" s="19"/>
    </row>
    <row r="53" ht="15.75" customHeight="1">
      <c r="A53" s="19"/>
      <c r="B53" s="19"/>
      <c r="C53" s="19"/>
      <c r="D53" s="19"/>
      <c r="E53" s="19"/>
      <c r="F53" s="19"/>
    </row>
    <row r="54" ht="15.75" customHeight="1">
      <c r="A54" s="19"/>
      <c r="B54" s="19"/>
      <c r="C54" s="19"/>
      <c r="D54" s="19"/>
      <c r="E54" s="19"/>
      <c r="F54" s="19"/>
    </row>
    <row r="55" ht="15.75" customHeight="1">
      <c r="A55" s="19"/>
      <c r="B55" s="19"/>
      <c r="C55" s="19"/>
      <c r="D55" s="19"/>
      <c r="E55" s="19"/>
      <c r="F55" s="19"/>
    </row>
    <row r="56" ht="15.75" customHeight="1">
      <c r="A56" s="19"/>
      <c r="B56" s="19"/>
      <c r="C56" s="19"/>
      <c r="D56" s="19"/>
      <c r="E56" s="19"/>
      <c r="F56" s="19"/>
    </row>
    <row r="57" ht="15.75" customHeight="1">
      <c r="A57" s="19"/>
      <c r="B57" s="19"/>
      <c r="C57" s="19"/>
      <c r="D57" s="19"/>
      <c r="E57" s="19"/>
      <c r="F57" s="19"/>
    </row>
    <row r="58" ht="15.75" customHeight="1">
      <c r="A58" s="19"/>
      <c r="B58" s="19"/>
      <c r="C58" s="19"/>
      <c r="D58" s="19"/>
      <c r="E58" s="19"/>
      <c r="F58" s="19"/>
    </row>
    <row r="59" ht="15.75" customHeight="1">
      <c r="A59" s="19"/>
      <c r="B59" s="19"/>
      <c r="C59" s="19"/>
      <c r="D59" s="19"/>
      <c r="E59" s="19"/>
      <c r="F59" s="19"/>
    </row>
    <row r="60" ht="15.75" customHeight="1">
      <c r="A60" s="19"/>
      <c r="B60" s="19"/>
      <c r="C60" s="19"/>
      <c r="D60" s="19"/>
      <c r="E60" s="19"/>
      <c r="F60" s="19"/>
    </row>
    <row r="61" ht="15.75" customHeight="1">
      <c r="A61" s="19"/>
      <c r="B61" s="19"/>
      <c r="C61" s="19"/>
      <c r="D61" s="19"/>
      <c r="E61" s="19"/>
      <c r="F61" s="19"/>
    </row>
    <row r="62" ht="15.75" customHeight="1">
      <c r="A62" s="19"/>
      <c r="B62" s="19"/>
      <c r="C62" s="19"/>
      <c r="D62" s="19"/>
      <c r="E62" s="19"/>
      <c r="F62" s="19"/>
    </row>
    <row r="63" ht="15.75" customHeight="1">
      <c r="A63" s="19"/>
      <c r="B63" s="19"/>
      <c r="C63" s="19"/>
      <c r="D63" s="19"/>
      <c r="E63" s="19"/>
      <c r="F63" s="19"/>
    </row>
    <row r="64" ht="15.75" customHeight="1">
      <c r="A64" s="19"/>
      <c r="B64" s="19"/>
      <c r="C64" s="19"/>
      <c r="D64" s="19"/>
      <c r="E64" s="19"/>
      <c r="F64" s="19"/>
    </row>
    <row r="65" ht="15.75" customHeight="1">
      <c r="A65" s="19"/>
      <c r="B65" s="19"/>
      <c r="C65" s="19"/>
      <c r="D65" s="19"/>
      <c r="E65" s="19"/>
      <c r="F65" s="19"/>
    </row>
    <row r="66" ht="15.75" customHeight="1">
      <c r="A66" s="19"/>
      <c r="B66" s="19"/>
      <c r="C66" s="19"/>
      <c r="D66" s="19"/>
      <c r="E66" s="19"/>
      <c r="F66" s="19"/>
    </row>
    <row r="67" ht="15.75" customHeight="1">
      <c r="A67" s="19"/>
      <c r="B67" s="19"/>
      <c r="C67" s="19"/>
      <c r="D67" s="19"/>
      <c r="E67" s="19"/>
      <c r="F67" s="19"/>
    </row>
    <row r="68" ht="15.75" customHeight="1">
      <c r="A68" s="19"/>
      <c r="B68" s="19"/>
      <c r="C68" s="19"/>
      <c r="D68" s="19"/>
      <c r="E68" s="19"/>
      <c r="F68" s="19"/>
    </row>
    <row r="69" ht="15.75" customHeight="1">
      <c r="A69" s="19"/>
      <c r="B69" s="19"/>
      <c r="C69" s="19"/>
      <c r="D69" s="19"/>
      <c r="E69" s="19"/>
      <c r="F69" s="19"/>
    </row>
    <row r="70" ht="15.75" customHeight="1">
      <c r="A70" s="19"/>
      <c r="B70" s="19"/>
      <c r="C70" s="19"/>
      <c r="D70" s="19"/>
      <c r="E70" s="19"/>
      <c r="F70" s="19"/>
    </row>
    <row r="71" ht="15.75" customHeight="1">
      <c r="A71" s="19"/>
      <c r="B71" s="19"/>
      <c r="C71" s="19"/>
      <c r="D71" s="19"/>
      <c r="E71" s="19"/>
      <c r="F71" s="19"/>
    </row>
    <row r="72" ht="15.75" customHeight="1">
      <c r="A72" s="19"/>
      <c r="B72" s="19"/>
      <c r="C72" s="19"/>
      <c r="D72" s="19"/>
      <c r="E72" s="19"/>
      <c r="F72" s="19"/>
    </row>
    <row r="73" ht="15.75" customHeight="1">
      <c r="A73" s="19"/>
      <c r="B73" s="19"/>
      <c r="C73" s="19"/>
      <c r="D73" s="19"/>
      <c r="E73" s="19"/>
      <c r="F73" s="19"/>
    </row>
    <row r="74" ht="15.75" customHeight="1">
      <c r="A74" s="19"/>
      <c r="B74" s="19"/>
      <c r="C74" s="19"/>
      <c r="D74" s="19"/>
      <c r="E74" s="19"/>
      <c r="F74" s="19"/>
    </row>
    <row r="75" ht="15.75" customHeight="1">
      <c r="A75" s="19"/>
      <c r="B75" s="19"/>
      <c r="C75" s="19"/>
      <c r="D75" s="19"/>
      <c r="E75" s="19"/>
      <c r="F75" s="19"/>
    </row>
    <row r="76" ht="15.75" customHeight="1">
      <c r="A76" s="19"/>
      <c r="B76" s="19"/>
      <c r="C76" s="19"/>
      <c r="D76" s="19"/>
      <c r="E76" s="19"/>
      <c r="F76" s="19"/>
    </row>
    <row r="77" ht="15.75" customHeight="1">
      <c r="A77" s="19"/>
      <c r="B77" s="19"/>
      <c r="C77" s="19"/>
      <c r="D77" s="19"/>
      <c r="E77" s="19"/>
      <c r="F77" s="19"/>
    </row>
    <row r="78" ht="15.75" customHeight="1">
      <c r="A78" s="19"/>
      <c r="B78" s="19"/>
      <c r="C78" s="19"/>
      <c r="D78" s="19"/>
      <c r="E78" s="19"/>
      <c r="F78" s="19"/>
    </row>
    <row r="79" ht="15.75" customHeight="1">
      <c r="A79" s="19"/>
      <c r="B79" s="19"/>
      <c r="C79" s="19"/>
      <c r="D79" s="19"/>
      <c r="E79" s="19"/>
      <c r="F79" s="19"/>
    </row>
    <row r="80" ht="15.75" customHeight="1">
      <c r="A80" s="19"/>
      <c r="B80" s="19"/>
      <c r="C80" s="19"/>
      <c r="D80" s="19"/>
      <c r="E80" s="19"/>
      <c r="F80" s="19"/>
    </row>
    <row r="81" ht="15.75" customHeight="1">
      <c r="A81" s="19"/>
      <c r="B81" s="19"/>
      <c r="C81" s="19"/>
      <c r="D81" s="19"/>
      <c r="E81" s="19"/>
      <c r="F81" s="19"/>
    </row>
    <row r="82" ht="15.75" customHeight="1">
      <c r="A82" s="19"/>
      <c r="B82" s="19"/>
      <c r="C82" s="19"/>
      <c r="D82" s="19"/>
      <c r="E82" s="19"/>
      <c r="F82" s="19"/>
    </row>
    <row r="83" ht="15.75" customHeight="1">
      <c r="A83" s="19"/>
      <c r="B83" s="19"/>
      <c r="C83" s="19"/>
      <c r="D83" s="19"/>
      <c r="E83" s="19"/>
      <c r="F83" s="19"/>
    </row>
    <row r="84" ht="15.75" customHeight="1">
      <c r="A84" s="19"/>
      <c r="B84" s="19"/>
      <c r="C84" s="19"/>
      <c r="D84" s="19"/>
      <c r="E84" s="19"/>
      <c r="F84" s="19"/>
    </row>
    <row r="85" ht="15.75" customHeight="1">
      <c r="A85" s="19"/>
      <c r="B85" s="19"/>
      <c r="C85" s="19"/>
      <c r="D85" s="19"/>
      <c r="E85" s="19"/>
      <c r="F85" s="19"/>
    </row>
    <row r="86" ht="15.75" customHeight="1">
      <c r="A86" s="19"/>
      <c r="B86" s="19"/>
      <c r="C86" s="19"/>
      <c r="D86" s="19"/>
      <c r="E86" s="19"/>
      <c r="F86" s="19"/>
    </row>
    <row r="87" ht="15.75" customHeight="1">
      <c r="A87" s="19"/>
      <c r="B87" s="19"/>
      <c r="C87" s="19"/>
      <c r="D87" s="19"/>
      <c r="E87" s="19"/>
      <c r="F87" s="19"/>
    </row>
    <row r="88" ht="15.75" customHeight="1">
      <c r="A88" s="19"/>
      <c r="B88" s="19"/>
      <c r="C88" s="19"/>
      <c r="D88" s="19"/>
      <c r="E88" s="19"/>
      <c r="F88" s="19"/>
    </row>
    <row r="89" ht="15.75" customHeight="1">
      <c r="A89" s="19"/>
      <c r="B89" s="19"/>
      <c r="C89" s="19"/>
      <c r="D89" s="19"/>
      <c r="E89" s="19"/>
      <c r="F89" s="19"/>
    </row>
    <row r="90" ht="15.75" customHeight="1">
      <c r="A90" s="19"/>
      <c r="B90" s="19"/>
      <c r="C90" s="19"/>
      <c r="D90" s="19"/>
      <c r="E90" s="19"/>
      <c r="F90" s="19"/>
    </row>
    <row r="91" ht="15.75" customHeight="1">
      <c r="A91" s="19"/>
      <c r="B91" s="19"/>
      <c r="C91" s="19"/>
      <c r="D91" s="19"/>
      <c r="E91" s="19"/>
      <c r="F91" s="19"/>
    </row>
    <row r="92" ht="15.75" customHeight="1">
      <c r="A92" s="19"/>
      <c r="B92" s="19"/>
      <c r="C92" s="19"/>
      <c r="D92" s="19"/>
      <c r="E92" s="19"/>
      <c r="F92" s="19"/>
    </row>
    <row r="93" ht="15.75" customHeight="1">
      <c r="A93" s="19"/>
      <c r="B93" s="19"/>
      <c r="C93" s="19"/>
      <c r="D93" s="19"/>
      <c r="E93" s="19"/>
      <c r="F93" s="19"/>
    </row>
    <row r="94" ht="15.75" customHeight="1">
      <c r="A94" s="19"/>
      <c r="B94" s="19"/>
      <c r="C94" s="19"/>
      <c r="D94" s="19"/>
      <c r="E94" s="19"/>
      <c r="F94" s="19"/>
    </row>
    <row r="95" ht="15.75" customHeight="1">
      <c r="A95" s="19"/>
      <c r="B95" s="19"/>
      <c r="C95" s="19"/>
      <c r="D95" s="19"/>
      <c r="E95" s="19"/>
      <c r="F95" s="19"/>
    </row>
    <row r="96" ht="15.75" customHeight="1">
      <c r="A96" s="19"/>
      <c r="B96" s="19"/>
      <c r="C96" s="19"/>
      <c r="D96" s="19"/>
      <c r="E96" s="19"/>
      <c r="F96" s="19"/>
    </row>
    <row r="97" ht="15.75" customHeight="1">
      <c r="A97" s="19"/>
      <c r="B97" s="19"/>
      <c r="C97" s="19"/>
      <c r="D97" s="19"/>
      <c r="E97" s="19"/>
      <c r="F97" s="19"/>
    </row>
    <row r="98" ht="15.75" customHeight="1">
      <c r="A98" s="19"/>
      <c r="B98" s="19"/>
      <c r="C98" s="19"/>
      <c r="D98" s="19"/>
      <c r="E98" s="19"/>
      <c r="F98" s="19"/>
    </row>
    <row r="99" ht="15.75" customHeight="1">
      <c r="A99" s="19"/>
      <c r="B99" s="19"/>
      <c r="C99" s="19"/>
      <c r="D99" s="19"/>
      <c r="E99" s="19"/>
      <c r="F99" s="19"/>
    </row>
    <row r="100" ht="15.75" customHeight="1">
      <c r="A100" s="19"/>
      <c r="B100" s="19"/>
      <c r="C100" s="19"/>
      <c r="D100" s="19"/>
      <c r="E100" s="19"/>
      <c r="F100" s="19"/>
    </row>
    <row r="101" ht="15.75" customHeight="1">
      <c r="A101" s="19"/>
      <c r="B101" s="19"/>
      <c r="C101" s="19"/>
      <c r="D101" s="19"/>
      <c r="E101" s="19"/>
      <c r="F101" s="19"/>
    </row>
    <row r="102" ht="15.75" customHeight="1">
      <c r="A102" s="19"/>
      <c r="B102" s="19"/>
      <c r="C102" s="19"/>
      <c r="D102" s="19"/>
      <c r="E102" s="19"/>
      <c r="F102" s="19"/>
    </row>
    <row r="103" ht="15.75" customHeight="1">
      <c r="A103" s="19"/>
      <c r="B103" s="19"/>
      <c r="C103" s="19"/>
      <c r="D103" s="19"/>
      <c r="E103" s="19"/>
      <c r="F103" s="19"/>
    </row>
    <row r="104" ht="15.75" customHeight="1">
      <c r="A104" s="19"/>
      <c r="B104" s="19"/>
      <c r="C104" s="19"/>
      <c r="D104" s="19"/>
      <c r="E104" s="19"/>
      <c r="F104" s="19"/>
    </row>
    <row r="105" ht="15.75" customHeight="1">
      <c r="A105" s="19"/>
      <c r="B105" s="19"/>
      <c r="C105" s="19"/>
      <c r="D105" s="19"/>
      <c r="E105" s="19"/>
      <c r="F105" s="19"/>
    </row>
    <row r="106" ht="15.75" customHeight="1">
      <c r="A106" s="19"/>
      <c r="B106" s="19"/>
      <c r="C106" s="19"/>
      <c r="D106" s="19"/>
      <c r="E106" s="19"/>
      <c r="F106" s="19"/>
    </row>
    <row r="107" ht="15.75" customHeight="1">
      <c r="A107" s="19"/>
      <c r="B107" s="19"/>
      <c r="C107" s="19"/>
      <c r="D107" s="19"/>
      <c r="E107" s="19"/>
      <c r="F107" s="19"/>
    </row>
    <row r="108" ht="15.75" customHeight="1">
      <c r="A108" s="19"/>
      <c r="B108" s="19"/>
      <c r="C108" s="19"/>
      <c r="D108" s="19"/>
      <c r="E108" s="19"/>
      <c r="F108" s="19"/>
    </row>
    <row r="109" ht="15.75" customHeight="1">
      <c r="A109" s="19"/>
      <c r="B109" s="19"/>
      <c r="C109" s="19"/>
      <c r="D109" s="19"/>
      <c r="E109" s="19"/>
      <c r="F109" s="19"/>
    </row>
    <row r="110" ht="15.75" customHeight="1">
      <c r="A110" s="19"/>
      <c r="B110" s="19"/>
      <c r="C110" s="19"/>
      <c r="D110" s="19"/>
      <c r="E110" s="19"/>
      <c r="F110" s="19"/>
    </row>
    <row r="111" ht="15.75" customHeight="1">
      <c r="A111" s="19"/>
      <c r="B111" s="19"/>
      <c r="C111" s="19"/>
      <c r="D111" s="19"/>
      <c r="E111" s="19"/>
      <c r="F111" s="19"/>
    </row>
    <row r="112" ht="15.75" customHeight="1">
      <c r="A112" s="19"/>
      <c r="B112" s="19"/>
      <c r="C112" s="19"/>
      <c r="D112" s="19"/>
      <c r="E112" s="19"/>
      <c r="F112" s="19"/>
    </row>
    <row r="113" ht="15.75" customHeight="1">
      <c r="A113" s="19"/>
      <c r="B113" s="19"/>
      <c r="C113" s="19"/>
      <c r="D113" s="19"/>
      <c r="E113" s="19"/>
      <c r="F113" s="19"/>
    </row>
    <row r="114" ht="15.75" customHeight="1">
      <c r="A114" s="19"/>
      <c r="B114" s="19"/>
      <c r="C114" s="19"/>
      <c r="D114" s="19"/>
      <c r="E114" s="19"/>
      <c r="F114" s="19"/>
    </row>
    <row r="115" ht="15.75" customHeight="1">
      <c r="A115" s="19"/>
      <c r="B115" s="19"/>
      <c r="C115" s="19"/>
      <c r="D115" s="19"/>
      <c r="E115" s="19"/>
      <c r="F115" s="19"/>
    </row>
    <row r="116" ht="15.75" customHeight="1">
      <c r="A116" s="19"/>
      <c r="B116" s="19"/>
      <c r="C116" s="19"/>
      <c r="D116" s="19"/>
      <c r="E116" s="19"/>
      <c r="F116" s="19"/>
    </row>
    <row r="117" ht="15.75" customHeight="1">
      <c r="A117" s="19"/>
      <c r="B117" s="19"/>
      <c r="C117" s="19"/>
      <c r="D117" s="19"/>
      <c r="E117" s="19"/>
      <c r="F117" s="19"/>
    </row>
    <row r="118" ht="15.75" customHeight="1">
      <c r="A118" s="19"/>
      <c r="B118" s="19"/>
      <c r="C118" s="19"/>
      <c r="D118" s="19"/>
      <c r="E118" s="19"/>
      <c r="F118" s="19"/>
    </row>
    <row r="119" ht="15.75" customHeight="1">
      <c r="A119" s="19"/>
      <c r="B119" s="19"/>
      <c r="C119" s="19"/>
      <c r="D119" s="19"/>
      <c r="E119" s="19"/>
      <c r="F119" s="19"/>
    </row>
    <row r="120" ht="15.75" customHeight="1">
      <c r="A120" s="19"/>
      <c r="B120" s="19"/>
      <c r="C120" s="19"/>
      <c r="D120" s="19"/>
      <c r="E120" s="19"/>
      <c r="F120" s="19"/>
    </row>
    <row r="121" ht="15.75" customHeight="1">
      <c r="A121" s="19"/>
      <c r="B121" s="19"/>
      <c r="C121" s="19"/>
      <c r="D121" s="19"/>
      <c r="E121" s="19"/>
      <c r="F121" s="19"/>
    </row>
    <row r="122" ht="15.75" customHeight="1">
      <c r="A122" s="19"/>
      <c r="B122" s="19"/>
      <c r="C122" s="19"/>
      <c r="D122" s="19"/>
      <c r="E122" s="19"/>
      <c r="F122" s="19"/>
    </row>
    <row r="123" ht="15.75" customHeight="1">
      <c r="A123" s="19"/>
      <c r="B123" s="19"/>
      <c r="C123" s="19"/>
      <c r="D123" s="19"/>
      <c r="E123" s="19"/>
      <c r="F123" s="19"/>
    </row>
    <row r="124" ht="15.75" customHeight="1">
      <c r="A124" s="19"/>
      <c r="B124" s="19"/>
      <c r="C124" s="19"/>
      <c r="D124" s="19"/>
      <c r="E124" s="19"/>
      <c r="F124" s="19"/>
    </row>
    <row r="125" ht="15.75" customHeight="1">
      <c r="A125" s="19"/>
      <c r="B125" s="19"/>
      <c r="C125" s="19"/>
      <c r="D125" s="19"/>
      <c r="E125" s="19"/>
      <c r="F125" s="19"/>
    </row>
    <row r="126" ht="15.75" customHeight="1">
      <c r="A126" s="19"/>
      <c r="B126" s="19"/>
      <c r="C126" s="19"/>
      <c r="D126" s="19"/>
      <c r="E126" s="19"/>
      <c r="F126" s="19"/>
    </row>
    <row r="127" ht="15.75" customHeight="1">
      <c r="A127" s="19"/>
      <c r="B127" s="19"/>
      <c r="C127" s="19"/>
      <c r="D127" s="19"/>
      <c r="E127" s="19"/>
      <c r="F127" s="19"/>
    </row>
    <row r="128" ht="15.75" customHeight="1">
      <c r="A128" s="19"/>
      <c r="B128" s="19"/>
      <c r="C128" s="19"/>
      <c r="D128" s="19"/>
      <c r="E128" s="19"/>
      <c r="F128" s="19"/>
    </row>
    <row r="129" ht="15.75" customHeight="1">
      <c r="A129" s="19"/>
      <c r="B129" s="19"/>
      <c r="C129" s="19"/>
      <c r="D129" s="19"/>
      <c r="E129" s="19"/>
      <c r="F129" s="19"/>
    </row>
    <row r="130" ht="15.75" customHeight="1">
      <c r="A130" s="19"/>
      <c r="B130" s="19"/>
      <c r="C130" s="19"/>
      <c r="D130" s="19"/>
      <c r="E130" s="19"/>
      <c r="F130" s="19"/>
    </row>
    <row r="131" ht="15.75" customHeight="1">
      <c r="A131" s="19"/>
      <c r="B131" s="19"/>
      <c r="C131" s="19"/>
      <c r="D131" s="19"/>
      <c r="E131" s="19"/>
      <c r="F131" s="19"/>
    </row>
    <row r="132" ht="15.75" customHeight="1">
      <c r="A132" s="19"/>
      <c r="B132" s="19"/>
      <c r="C132" s="19"/>
      <c r="D132" s="19"/>
      <c r="E132" s="19"/>
      <c r="F132" s="19"/>
    </row>
    <row r="133" ht="15.75" customHeight="1">
      <c r="A133" s="19"/>
      <c r="B133" s="19"/>
      <c r="C133" s="19"/>
      <c r="D133" s="19"/>
      <c r="E133" s="19"/>
      <c r="F133" s="19"/>
    </row>
    <row r="134" ht="15.75" customHeight="1">
      <c r="A134" s="19"/>
      <c r="B134" s="19"/>
      <c r="C134" s="19"/>
      <c r="D134" s="19"/>
      <c r="E134" s="19"/>
      <c r="F134" s="19"/>
    </row>
    <row r="135" ht="15.75" customHeight="1">
      <c r="A135" s="19"/>
      <c r="B135" s="19"/>
      <c r="C135" s="19"/>
      <c r="D135" s="19"/>
      <c r="E135" s="19"/>
      <c r="F135" s="19"/>
    </row>
    <row r="136" ht="15.75" customHeight="1">
      <c r="A136" s="19"/>
      <c r="B136" s="19"/>
      <c r="C136" s="19"/>
      <c r="D136" s="19"/>
      <c r="E136" s="19"/>
      <c r="F136" s="19"/>
    </row>
    <row r="137" ht="15.75" customHeight="1">
      <c r="A137" s="19"/>
      <c r="B137" s="19"/>
      <c r="C137" s="19"/>
      <c r="D137" s="19"/>
      <c r="E137" s="19"/>
      <c r="F137" s="19"/>
    </row>
    <row r="138" ht="15.75" customHeight="1">
      <c r="A138" s="19"/>
      <c r="B138" s="19"/>
      <c r="C138" s="19"/>
      <c r="D138" s="19"/>
      <c r="E138" s="19"/>
      <c r="F138" s="19"/>
    </row>
    <row r="139" ht="15.75" customHeight="1">
      <c r="A139" s="19"/>
      <c r="B139" s="19"/>
      <c r="C139" s="19"/>
      <c r="D139" s="19"/>
      <c r="E139" s="19"/>
      <c r="F139" s="19"/>
    </row>
    <row r="140" ht="15.75" customHeight="1">
      <c r="A140" s="19"/>
      <c r="B140" s="19"/>
      <c r="C140" s="19"/>
      <c r="D140" s="19"/>
      <c r="E140" s="19"/>
      <c r="F140" s="19"/>
    </row>
    <row r="141" ht="15.75" customHeight="1">
      <c r="A141" s="19"/>
      <c r="B141" s="19"/>
      <c r="C141" s="19"/>
      <c r="D141" s="19"/>
      <c r="E141" s="19"/>
      <c r="F141" s="19"/>
    </row>
    <row r="142" ht="15.75" customHeight="1">
      <c r="A142" s="19"/>
      <c r="B142" s="19"/>
      <c r="C142" s="19"/>
      <c r="D142" s="19"/>
      <c r="E142" s="19"/>
      <c r="F142" s="19"/>
    </row>
    <row r="143" ht="15.75" customHeight="1">
      <c r="A143" s="19"/>
      <c r="B143" s="19"/>
      <c r="C143" s="19"/>
      <c r="D143" s="19"/>
      <c r="E143" s="19"/>
      <c r="F143" s="19"/>
    </row>
    <row r="144" ht="15.75" customHeight="1">
      <c r="A144" s="19"/>
      <c r="B144" s="19"/>
      <c r="C144" s="19"/>
      <c r="D144" s="19"/>
      <c r="E144" s="19"/>
      <c r="F144" s="19"/>
    </row>
    <row r="145" ht="15.75" customHeight="1">
      <c r="A145" s="19"/>
      <c r="B145" s="19"/>
      <c r="C145" s="19"/>
      <c r="D145" s="19"/>
      <c r="E145" s="19"/>
      <c r="F145" s="19"/>
    </row>
    <row r="146" ht="15.75" customHeight="1">
      <c r="A146" s="19"/>
      <c r="B146" s="19"/>
      <c r="C146" s="19"/>
      <c r="D146" s="19"/>
      <c r="E146" s="19"/>
      <c r="F146" s="19"/>
    </row>
    <row r="147" ht="15.75" customHeight="1">
      <c r="A147" s="19"/>
      <c r="B147" s="19"/>
      <c r="C147" s="19"/>
      <c r="D147" s="19"/>
      <c r="E147" s="19"/>
      <c r="F147" s="19"/>
    </row>
    <row r="148" ht="15.75" customHeight="1">
      <c r="A148" s="19"/>
      <c r="B148" s="19"/>
      <c r="C148" s="19"/>
      <c r="D148" s="19"/>
      <c r="E148" s="19"/>
      <c r="F148" s="19"/>
    </row>
    <row r="149" ht="15.75" customHeight="1">
      <c r="A149" s="19"/>
      <c r="B149" s="19"/>
      <c r="C149" s="19"/>
      <c r="D149" s="19"/>
      <c r="E149" s="19"/>
      <c r="F149" s="19"/>
    </row>
    <row r="150" ht="15.75" customHeight="1">
      <c r="A150" s="19"/>
      <c r="B150" s="19"/>
      <c r="C150" s="19"/>
      <c r="D150" s="19"/>
      <c r="E150" s="19"/>
      <c r="F150" s="19"/>
    </row>
    <row r="151" ht="15.75" customHeight="1">
      <c r="A151" s="19"/>
      <c r="B151" s="19"/>
      <c r="C151" s="19"/>
      <c r="D151" s="19"/>
      <c r="E151" s="19"/>
      <c r="F151" s="19"/>
    </row>
    <row r="152" ht="15.75" customHeight="1">
      <c r="A152" s="19"/>
      <c r="B152" s="19"/>
      <c r="C152" s="19"/>
      <c r="D152" s="19"/>
      <c r="E152" s="19"/>
      <c r="F152" s="19"/>
    </row>
    <row r="153" ht="15.75" customHeight="1">
      <c r="A153" s="19"/>
      <c r="B153" s="19"/>
      <c r="C153" s="19"/>
      <c r="D153" s="19"/>
      <c r="E153" s="19"/>
      <c r="F153" s="19"/>
    </row>
    <row r="154" ht="15.75" customHeight="1">
      <c r="A154" s="19"/>
      <c r="B154" s="19"/>
      <c r="C154" s="19"/>
      <c r="D154" s="19"/>
      <c r="E154" s="19"/>
      <c r="F154" s="19"/>
    </row>
    <row r="155" ht="15.75" customHeight="1">
      <c r="A155" s="19"/>
      <c r="B155" s="19"/>
      <c r="C155" s="19"/>
      <c r="D155" s="19"/>
      <c r="E155" s="19"/>
      <c r="F155" s="19"/>
    </row>
    <row r="156" ht="15.75" customHeight="1">
      <c r="A156" s="19"/>
      <c r="B156" s="19"/>
      <c r="C156" s="19"/>
      <c r="D156" s="19"/>
      <c r="E156" s="19"/>
      <c r="F156" s="19"/>
    </row>
    <row r="157" ht="15.75" customHeight="1">
      <c r="A157" s="19"/>
      <c r="B157" s="19"/>
      <c r="C157" s="19"/>
      <c r="D157" s="19"/>
      <c r="E157" s="19"/>
      <c r="F157" s="19"/>
    </row>
    <row r="158" ht="15.75" customHeight="1">
      <c r="A158" s="19"/>
      <c r="B158" s="19"/>
      <c r="C158" s="19"/>
      <c r="D158" s="19"/>
      <c r="E158" s="19"/>
      <c r="F158" s="19"/>
    </row>
    <row r="159" ht="15.75" customHeight="1">
      <c r="A159" s="19"/>
      <c r="B159" s="19"/>
      <c r="C159" s="19"/>
      <c r="D159" s="19"/>
      <c r="E159" s="19"/>
      <c r="F159" s="19"/>
    </row>
    <row r="160" ht="15.75" customHeight="1">
      <c r="A160" s="19"/>
      <c r="B160" s="19"/>
      <c r="C160" s="19"/>
      <c r="D160" s="19"/>
      <c r="E160" s="19"/>
      <c r="F160" s="19"/>
    </row>
    <row r="161" ht="15.75" customHeight="1">
      <c r="A161" s="19"/>
      <c r="B161" s="19"/>
      <c r="C161" s="19"/>
      <c r="D161" s="19"/>
      <c r="E161" s="19"/>
      <c r="F161" s="19"/>
    </row>
    <row r="162" ht="15.75" customHeight="1">
      <c r="A162" s="19"/>
      <c r="B162" s="19"/>
      <c r="C162" s="19"/>
      <c r="D162" s="19"/>
      <c r="E162" s="19"/>
      <c r="F162" s="19"/>
    </row>
    <row r="163" ht="15.75" customHeight="1">
      <c r="A163" s="19"/>
      <c r="B163" s="19"/>
      <c r="C163" s="19"/>
      <c r="D163" s="19"/>
      <c r="E163" s="19"/>
      <c r="F163" s="19"/>
    </row>
    <row r="164" ht="15.75" customHeight="1">
      <c r="A164" s="19"/>
      <c r="B164" s="19"/>
      <c r="C164" s="19"/>
      <c r="D164" s="19"/>
      <c r="E164" s="19"/>
      <c r="F164" s="19"/>
    </row>
    <row r="165" ht="15.75" customHeight="1">
      <c r="A165" s="19"/>
      <c r="B165" s="19"/>
      <c r="C165" s="19"/>
      <c r="D165" s="19"/>
      <c r="E165" s="19"/>
      <c r="F165" s="19"/>
    </row>
    <row r="166" ht="15.75" customHeight="1">
      <c r="A166" s="19"/>
      <c r="B166" s="19"/>
      <c r="C166" s="19"/>
      <c r="D166" s="19"/>
      <c r="E166" s="19"/>
      <c r="F166" s="19"/>
    </row>
    <row r="167" ht="15.75" customHeight="1">
      <c r="A167" s="19"/>
      <c r="B167" s="19"/>
      <c r="C167" s="19"/>
      <c r="D167" s="19"/>
      <c r="E167" s="19"/>
      <c r="F167" s="19"/>
    </row>
    <row r="168" ht="15.75" customHeight="1">
      <c r="A168" s="19"/>
      <c r="B168" s="19"/>
      <c r="C168" s="19"/>
      <c r="D168" s="19"/>
      <c r="E168" s="19"/>
      <c r="F168" s="19"/>
    </row>
    <row r="169" ht="15.75" customHeight="1">
      <c r="A169" s="19"/>
      <c r="B169" s="19"/>
      <c r="C169" s="19"/>
      <c r="D169" s="19"/>
      <c r="E169" s="19"/>
      <c r="F169" s="19"/>
    </row>
    <row r="170" ht="15.75" customHeight="1">
      <c r="A170" s="19"/>
      <c r="B170" s="19"/>
      <c r="C170" s="19"/>
      <c r="D170" s="19"/>
      <c r="E170" s="19"/>
      <c r="F170" s="19"/>
    </row>
    <row r="171" ht="15.75" customHeight="1">
      <c r="A171" s="19"/>
      <c r="B171" s="19"/>
      <c r="C171" s="19"/>
      <c r="D171" s="19"/>
      <c r="E171" s="19"/>
      <c r="F171" s="19"/>
    </row>
    <row r="172" ht="15.75" customHeight="1">
      <c r="A172" s="19"/>
      <c r="B172" s="19"/>
      <c r="C172" s="19"/>
      <c r="D172" s="19"/>
      <c r="E172" s="19"/>
      <c r="F172" s="19"/>
    </row>
    <row r="173" ht="15.75" customHeight="1">
      <c r="A173" s="19"/>
      <c r="B173" s="19"/>
      <c r="C173" s="19"/>
      <c r="D173" s="19"/>
      <c r="E173" s="19"/>
      <c r="F173" s="19"/>
    </row>
    <row r="174" ht="15.75" customHeight="1">
      <c r="A174" s="19"/>
      <c r="B174" s="19"/>
      <c r="C174" s="19"/>
      <c r="D174" s="19"/>
      <c r="E174" s="19"/>
      <c r="F174" s="19"/>
    </row>
    <row r="175" ht="15.75" customHeight="1">
      <c r="A175" s="19"/>
      <c r="B175" s="19"/>
      <c r="C175" s="19"/>
      <c r="D175" s="19"/>
      <c r="E175" s="19"/>
      <c r="F175" s="19"/>
    </row>
    <row r="176" ht="15.75" customHeight="1">
      <c r="A176" s="19"/>
      <c r="B176" s="19"/>
      <c r="C176" s="19"/>
      <c r="D176" s="19"/>
      <c r="E176" s="19"/>
      <c r="F176" s="19"/>
    </row>
    <row r="177" ht="15.75" customHeight="1">
      <c r="A177" s="19"/>
      <c r="B177" s="19"/>
      <c r="C177" s="19"/>
      <c r="D177" s="19"/>
      <c r="E177" s="19"/>
      <c r="F177" s="19"/>
    </row>
    <row r="178" ht="15.75" customHeight="1">
      <c r="A178" s="19"/>
      <c r="B178" s="19"/>
      <c r="C178" s="19"/>
      <c r="D178" s="19"/>
      <c r="E178" s="19"/>
      <c r="F178" s="19"/>
    </row>
    <row r="179" ht="15.75" customHeight="1">
      <c r="A179" s="19"/>
      <c r="B179" s="19"/>
      <c r="C179" s="19"/>
      <c r="D179" s="19"/>
      <c r="E179" s="19"/>
      <c r="F179" s="19"/>
    </row>
    <row r="180" ht="15.75" customHeight="1">
      <c r="A180" s="19"/>
      <c r="B180" s="19"/>
      <c r="C180" s="19"/>
      <c r="D180" s="19"/>
      <c r="E180" s="19"/>
      <c r="F180" s="19"/>
    </row>
    <row r="181" ht="15.75" customHeight="1">
      <c r="A181" s="19"/>
      <c r="B181" s="19"/>
      <c r="C181" s="19"/>
      <c r="D181" s="19"/>
      <c r="E181" s="19"/>
      <c r="F181" s="19"/>
    </row>
    <row r="182" ht="15.75" customHeight="1">
      <c r="A182" s="19"/>
      <c r="B182" s="19"/>
      <c r="C182" s="19"/>
      <c r="D182" s="19"/>
      <c r="E182" s="19"/>
      <c r="F182" s="19"/>
    </row>
    <row r="183" ht="15.75" customHeight="1">
      <c r="A183" s="19"/>
      <c r="B183" s="19"/>
      <c r="C183" s="19"/>
      <c r="D183" s="19"/>
      <c r="E183" s="19"/>
      <c r="F183" s="19"/>
    </row>
    <row r="184" ht="15.75" customHeight="1">
      <c r="A184" s="19"/>
      <c r="B184" s="19"/>
      <c r="C184" s="19"/>
      <c r="D184" s="19"/>
      <c r="E184" s="19"/>
      <c r="F184" s="19"/>
    </row>
    <row r="185" ht="15.75" customHeight="1">
      <c r="A185" s="19"/>
      <c r="B185" s="19"/>
      <c r="C185" s="19"/>
      <c r="D185" s="19"/>
      <c r="E185" s="19"/>
      <c r="F185" s="19"/>
    </row>
    <row r="186" ht="15.75" customHeight="1">
      <c r="A186" s="19"/>
      <c r="B186" s="19"/>
      <c r="C186" s="19"/>
      <c r="D186" s="19"/>
      <c r="E186" s="19"/>
      <c r="F186" s="19"/>
    </row>
    <row r="187" ht="15.75" customHeight="1">
      <c r="A187" s="19"/>
      <c r="B187" s="19"/>
      <c r="C187" s="19"/>
      <c r="D187" s="19"/>
      <c r="E187" s="19"/>
      <c r="F187" s="19"/>
    </row>
    <row r="188" ht="15.75" customHeight="1">
      <c r="A188" s="19"/>
      <c r="B188" s="19"/>
      <c r="C188" s="19"/>
      <c r="D188" s="19"/>
      <c r="E188" s="19"/>
      <c r="F188" s="19"/>
    </row>
    <row r="189" ht="15.75" customHeight="1">
      <c r="A189" s="19"/>
      <c r="B189" s="19"/>
      <c r="C189" s="19"/>
      <c r="D189" s="19"/>
      <c r="E189" s="19"/>
      <c r="F189" s="19"/>
    </row>
    <row r="190" ht="15.75" customHeight="1">
      <c r="A190" s="19"/>
      <c r="B190" s="19"/>
      <c r="C190" s="19"/>
      <c r="D190" s="19"/>
      <c r="E190" s="19"/>
      <c r="F190" s="19"/>
    </row>
    <row r="191" ht="15.75" customHeight="1">
      <c r="A191" s="19"/>
      <c r="B191" s="19"/>
      <c r="C191" s="19"/>
      <c r="D191" s="19"/>
      <c r="E191" s="19"/>
      <c r="F191" s="19"/>
    </row>
    <row r="192" ht="15.75" customHeight="1">
      <c r="A192" s="19"/>
      <c r="B192" s="19"/>
      <c r="C192" s="19"/>
      <c r="D192" s="19"/>
      <c r="E192" s="19"/>
      <c r="F192" s="19"/>
    </row>
    <row r="193" ht="15.75" customHeight="1">
      <c r="A193" s="19"/>
      <c r="B193" s="19"/>
      <c r="C193" s="19"/>
      <c r="D193" s="19"/>
      <c r="E193" s="19"/>
      <c r="F193" s="19"/>
    </row>
    <row r="194" ht="15.75" customHeight="1">
      <c r="A194" s="19"/>
      <c r="B194" s="19"/>
      <c r="C194" s="19"/>
      <c r="D194" s="19"/>
      <c r="E194" s="19"/>
      <c r="F194" s="19"/>
    </row>
    <row r="195" ht="15.75" customHeight="1">
      <c r="A195" s="19"/>
      <c r="B195" s="19"/>
      <c r="C195" s="19"/>
      <c r="D195" s="19"/>
      <c r="E195" s="19"/>
      <c r="F195" s="19"/>
    </row>
    <row r="196" ht="15.75" customHeight="1">
      <c r="A196" s="19"/>
      <c r="B196" s="19"/>
      <c r="C196" s="19"/>
      <c r="D196" s="19"/>
      <c r="E196" s="19"/>
      <c r="F196" s="19"/>
    </row>
    <row r="197" ht="15.75" customHeight="1">
      <c r="A197" s="19"/>
      <c r="B197" s="19"/>
      <c r="C197" s="19"/>
      <c r="D197" s="19"/>
      <c r="E197" s="19"/>
      <c r="F197" s="19"/>
    </row>
    <row r="198" ht="15.75" customHeight="1">
      <c r="A198" s="19"/>
      <c r="B198" s="19"/>
      <c r="C198" s="19"/>
      <c r="D198" s="19"/>
      <c r="E198" s="19"/>
      <c r="F198" s="19"/>
    </row>
    <row r="199" ht="15.75" customHeight="1">
      <c r="A199" s="19"/>
      <c r="B199" s="19"/>
      <c r="C199" s="19"/>
      <c r="D199" s="19"/>
      <c r="E199" s="19"/>
      <c r="F199" s="19"/>
    </row>
    <row r="200" ht="15.75" customHeight="1">
      <c r="A200" s="19"/>
      <c r="B200" s="19"/>
      <c r="C200" s="19"/>
      <c r="D200" s="19"/>
      <c r="E200" s="19"/>
      <c r="F200" s="19"/>
    </row>
    <row r="201" ht="15.75" customHeight="1">
      <c r="A201" s="19"/>
      <c r="B201" s="19"/>
      <c r="C201" s="19"/>
      <c r="D201" s="19"/>
      <c r="E201" s="19"/>
      <c r="F201" s="19"/>
    </row>
    <row r="202" ht="15.75" customHeight="1">
      <c r="A202" s="19"/>
      <c r="B202" s="19"/>
      <c r="C202" s="19"/>
      <c r="D202" s="19"/>
      <c r="E202" s="19"/>
      <c r="F202" s="19"/>
    </row>
    <row r="203" ht="15.75" customHeight="1">
      <c r="A203" s="19"/>
      <c r="B203" s="19"/>
      <c r="C203" s="19"/>
      <c r="D203" s="19"/>
      <c r="E203" s="19"/>
      <c r="F203" s="19"/>
    </row>
    <row r="204" ht="15.75" customHeight="1">
      <c r="A204" s="19"/>
      <c r="B204" s="19"/>
      <c r="C204" s="19"/>
      <c r="D204" s="19"/>
      <c r="E204" s="19"/>
      <c r="F204" s="19"/>
    </row>
    <row r="205" ht="15.75" customHeight="1">
      <c r="A205" s="19"/>
      <c r="B205" s="19"/>
      <c r="C205" s="19"/>
      <c r="D205" s="19"/>
      <c r="E205" s="19"/>
      <c r="F205" s="19"/>
    </row>
    <row r="206" ht="15.75" customHeight="1">
      <c r="A206" s="19"/>
      <c r="B206" s="19"/>
      <c r="C206" s="19"/>
      <c r="D206" s="19"/>
      <c r="E206" s="19"/>
      <c r="F206" s="19"/>
    </row>
    <row r="207" ht="15.75" customHeight="1">
      <c r="A207" s="19"/>
      <c r="B207" s="19"/>
      <c r="C207" s="19"/>
      <c r="D207" s="19"/>
      <c r="E207" s="19"/>
      <c r="F207" s="19"/>
    </row>
    <row r="208" ht="15.75" customHeight="1">
      <c r="A208" s="19"/>
      <c r="B208" s="19"/>
      <c r="C208" s="19"/>
      <c r="D208" s="19"/>
      <c r="E208" s="19"/>
      <c r="F208" s="19"/>
    </row>
    <row r="209" ht="15.75" customHeight="1">
      <c r="A209" s="19"/>
      <c r="B209" s="19"/>
      <c r="C209" s="19"/>
      <c r="D209" s="19"/>
      <c r="E209" s="19"/>
      <c r="F209" s="19"/>
    </row>
    <row r="210" ht="15.75" customHeight="1">
      <c r="A210" s="19"/>
      <c r="B210" s="19"/>
      <c r="C210" s="19"/>
      <c r="D210" s="19"/>
      <c r="E210" s="19"/>
      <c r="F210" s="19"/>
    </row>
    <row r="211" ht="15.75" customHeight="1">
      <c r="A211" s="19"/>
      <c r="B211" s="19"/>
      <c r="C211" s="19"/>
      <c r="D211" s="19"/>
      <c r="E211" s="19"/>
      <c r="F211" s="19"/>
    </row>
    <row r="212" ht="15.75" customHeight="1">
      <c r="A212" s="19"/>
      <c r="B212" s="19"/>
      <c r="C212" s="19"/>
      <c r="D212" s="19"/>
      <c r="E212" s="19"/>
      <c r="F212" s="19"/>
    </row>
    <row r="213" ht="15.75" customHeight="1">
      <c r="A213" s="19"/>
      <c r="B213" s="19"/>
      <c r="C213" s="19"/>
      <c r="D213" s="19"/>
      <c r="E213" s="19"/>
      <c r="F213" s="19"/>
    </row>
    <row r="214" ht="15.75" customHeight="1">
      <c r="A214" s="19"/>
      <c r="B214" s="19"/>
      <c r="C214" s="19"/>
      <c r="D214" s="19"/>
      <c r="E214" s="19"/>
      <c r="F214" s="19"/>
    </row>
    <row r="215" ht="15.75" customHeight="1">
      <c r="A215" s="19"/>
      <c r="B215" s="19"/>
      <c r="C215" s="19"/>
      <c r="D215" s="19"/>
      <c r="E215" s="19"/>
      <c r="F215" s="19"/>
    </row>
    <row r="216" ht="15.75" customHeight="1">
      <c r="A216" s="19"/>
      <c r="B216" s="19"/>
      <c r="C216" s="19"/>
      <c r="D216" s="19"/>
      <c r="E216" s="19"/>
      <c r="F216" s="19"/>
    </row>
    <row r="217" ht="15.75" customHeight="1">
      <c r="A217" s="19"/>
      <c r="B217" s="19"/>
      <c r="C217" s="19"/>
      <c r="D217" s="19"/>
      <c r="E217" s="19"/>
      <c r="F217" s="19"/>
    </row>
    <row r="218" ht="15.75" customHeight="1">
      <c r="A218" s="19"/>
      <c r="B218" s="19"/>
      <c r="C218" s="19"/>
      <c r="D218" s="19"/>
      <c r="E218" s="19"/>
      <c r="F218" s="19"/>
    </row>
    <row r="219" ht="15.75" customHeight="1">
      <c r="A219" s="19"/>
      <c r="B219" s="19"/>
      <c r="C219" s="19"/>
      <c r="D219" s="19"/>
      <c r="E219" s="19"/>
      <c r="F219" s="19"/>
    </row>
    <row r="220" ht="15.75" customHeight="1">
      <c r="A220" s="19"/>
      <c r="B220" s="19"/>
      <c r="C220" s="19"/>
      <c r="D220" s="19"/>
      <c r="E220" s="19"/>
      <c r="F220" s="19"/>
    </row>
    <row r="221" ht="15.75" customHeight="1">
      <c r="A221" s="19"/>
      <c r="B221" s="19"/>
      <c r="C221" s="19"/>
      <c r="D221" s="19"/>
      <c r="E221" s="19"/>
      <c r="F221" s="19"/>
    </row>
    <row r="222" ht="15.75" customHeight="1">
      <c r="A222" s="19"/>
      <c r="B222" s="19"/>
      <c r="C222" s="19"/>
      <c r="D222" s="19"/>
      <c r="E222" s="19"/>
      <c r="F222" s="19"/>
    </row>
    <row r="223" ht="15.75" customHeight="1">
      <c r="A223" s="19"/>
      <c r="B223" s="19"/>
      <c r="C223" s="19"/>
      <c r="D223" s="19"/>
      <c r="E223" s="19"/>
      <c r="F223" s="19"/>
    </row>
    <row r="224" ht="15.75" customHeight="1">
      <c r="A224" s="19"/>
      <c r="B224" s="19"/>
      <c r="C224" s="19"/>
      <c r="D224" s="19"/>
      <c r="E224" s="19"/>
      <c r="F224" s="19"/>
    </row>
    <row r="225" ht="15.75" customHeight="1">
      <c r="A225" s="19"/>
      <c r="B225" s="19"/>
      <c r="C225" s="19"/>
      <c r="D225" s="19"/>
      <c r="E225" s="19"/>
      <c r="F225" s="19"/>
    </row>
    <row r="226" ht="15.75" customHeight="1">
      <c r="A226" s="19"/>
      <c r="B226" s="19"/>
      <c r="C226" s="19"/>
      <c r="D226" s="19"/>
      <c r="E226" s="19"/>
      <c r="F226" s="19"/>
    </row>
    <row r="227" ht="15.75" customHeight="1">
      <c r="A227" s="19"/>
      <c r="B227" s="19"/>
      <c r="C227" s="19"/>
      <c r="D227" s="19"/>
      <c r="E227" s="19"/>
      <c r="F227" s="19"/>
    </row>
    <row r="228" ht="15.75" customHeight="1">
      <c r="A228" s="19"/>
      <c r="B228" s="19"/>
      <c r="C228" s="19"/>
      <c r="D228" s="19"/>
      <c r="E228" s="19"/>
      <c r="F228" s="19"/>
    </row>
    <row r="229" ht="15.75" customHeight="1">
      <c r="A229" s="19"/>
      <c r="B229" s="19"/>
      <c r="C229" s="19"/>
      <c r="D229" s="19"/>
      <c r="E229" s="19"/>
      <c r="F229" s="19"/>
    </row>
    <row r="230" ht="15.75" customHeight="1">
      <c r="A230" s="19"/>
      <c r="B230" s="19"/>
      <c r="C230" s="19"/>
      <c r="D230" s="19"/>
      <c r="E230" s="19"/>
      <c r="F230" s="19"/>
    </row>
    <row r="231" ht="15.75" customHeight="1">
      <c r="A231" s="19"/>
      <c r="B231" s="19"/>
      <c r="C231" s="19"/>
      <c r="D231" s="19"/>
      <c r="E231" s="19"/>
      <c r="F231" s="19"/>
    </row>
    <row r="232" ht="15.75" customHeight="1">
      <c r="A232" s="19"/>
      <c r="B232" s="19"/>
      <c r="C232" s="19"/>
      <c r="D232" s="19"/>
      <c r="E232" s="19"/>
      <c r="F232" s="19"/>
    </row>
    <row r="233" ht="15.75" customHeight="1">
      <c r="A233" s="19"/>
      <c r="B233" s="19"/>
      <c r="C233" s="19"/>
      <c r="D233" s="19"/>
      <c r="E233" s="19"/>
      <c r="F233" s="19"/>
    </row>
    <row r="234" ht="15.75" customHeight="1">
      <c r="A234" s="19"/>
      <c r="B234" s="19"/>
      <c r="C234" s="19"/>
      <c r="D234" s="19"/>
      <c r="E234" s="19"/>
      <c r="F234" s="19"/>
    </row>
    <row r="235" ht="15.75" customHeight="1">
      <c r="A235" s="19"/>
      <c r="B235" s="19"/>
      <c r="C235" s="19"/>
      <c r="D235" s="19"/>
      <c r="E235" s="19"/>
      <c r="F235" s="19"/>
    </row>
    <row r="236" ht="15.75" customHeight="1">
      <c r="A236" s="19"/>
      <c r="B236" s="19"/>
      <c r="C236" s="19"/>
      <c r="D236" s="19"/>
      <c r="E236" s="19"/>
      <c r="F236" s="19"/>
    </row>
    <row r="237" ht="15.75" customHeight="1">
      <c r="A237" s="19"/>
      <c r="B237" s="19"/>
      <c r="C237" s="19"/>
      <c r="D237" s="19"/>
      <c r="E237" s="19"/>
      <c r="F237" s="19"/>
    </row>
    <row r="238" ht="15.75" customHeight="1">
      <c r="A238" s="19"/>
      <c r="B238" s="19"/>
      <c r="C238" s="19"/>
      <c r="D238" s="19"/>
      <c r="E238" s="19"/>
      <c r="F238" s="19"/>
    </row>
    <row r="239" ht="15.75" customHeight="1">
      <c r="A239" s="19"/>
      <c r="B239" s="19"/>
      <c r="C239" s="19"/>
      <c r="D239" s="19"/>
      <c r="E239" s="19"/>
      <c r="F239" s="19"/>
    </row>
    <row r="240" ht="15.75" customHeight="1">
      <c r="A240" s="19"/>
      <c r="B240" s="19"/>
      <c r="C240" s="19"/>
      <c r="D240" s="19"/>
      <c r="E240" s="19"/>
      <c r="F240" s="19"/>
    </row>
    <row r="241" ht="15.75" customHeight="1">
      <c r="A241" s="19"/>
      <c r="B241" s="19"/>
      <c r="C241" s="19"/>
      <c r="D241" s="19"/>
      <c r="E241" s="19"/>
      <c r="F241" s="19"/>
    </row>
    <row r="242" ht="15.75" customHeight="1">
      <c r="A242" s="19"/>
      <c r="B242" s="19"/>
      <c r="C242" s="19"/>
      <c r="D242" s="19"/>
      <c r="E242" s="19"/>
      <c r="F242" s="19"/>
    </row>
    <row r="243" ht="15.75" customHeight="1">
      <c r="A243" s="19"/>
      <c r="B243" s="19"/>
      <c r="C243" s="19"/>
      <c r="D243" s="19"/>
      <c r="E243" s="19"/>
      <c r="F243" s="19"/>
    </row>
    <row r="244" ht="15.75" customHeight="1">
      <c r="A244" s="19"/>
      <c r="B244" s="19"/>
      <c r="C244" s="19"/>
      <c r="D244" s="19"/>
      <c r="E244" s="19"/>
      <c r="F244" s="19"/>
    </row>
    <row r="245" ht="15.75" customHeight="1">
      <c r="A245" s="19"/>
      <c r="B245" s="19"/>
      <c r="C245" s="19"/>
      <c r="D245" s="19"/>
      <c r="E245" s="19"/>
      <c r="F245" s="19"/>
    </row>
    <row r="246" ht="15.75" customHeight="1">
      <c r="A246" s="19"/>
      <c r="B246" s="19"/>
      <c r="C246" s="19"/>
      <c r="D246" s="19"/>
      <c r="E246" s="19"/>
      <c r="F246" s="19"/>
    </row>
    <row r="247" ht="15.75" customHeight="1">
      <c r="A247" s="19"/>
      <c r="B247" s="19"/>
      <c r="C247" s="19"/>
      <c r="D247" s="19"/>
      <c r="E247" s="19"/>
      <c r="F247" s="19"/>
    </row>
    <row r="248" ht="15.75" customHeight="1">
      <c r="A248" s="19"/>
      <c r="B248" s="19"/>
      <c r="C248" s="19"/>
      <c r="D248" s="19"/>
      <c r="E248" s="19"/>
      <c r="F248" s="19"/>
    </row>
    <row r="249" ht="15.75" customHeight="1">
      <c r="A249" s="19"/>
      <c r="B249" s="19"/>
      <c r="C249" s="19"/>
      <c r="D249" s="19"/>
      <c r="E249" s="19"/>
      <c r="F249" s="19"/>
    </row>
    <row r="250" ht="15.75" customHeight="1">
      <c r="A250" s="19"/>
      <c r="B250" s="19"/>
      <c r="C250" s="19"/>
      <c r="D250" s="19"/>
      <c r="E250" s="19"/>
      <c r="F250" s="19"/>
    </row>
    <row r="251" ht="15.75" customHeight="1">
      <c r="A251" s="19"/>
      <c r="B251" s="19"/>
      <c r="C251" s="19"/>
      <c r="D251" s="19"/>
      <c r="E251" s="19"/>
      <c r="F251" s="19"/>
    </row>
    <row r="252" ht="15.75" customHeight="1">
      <c r="A252" s="19"/>
      <c r="B252" s="19"/>
      <c r="C252" s="19"/>
      <c r="D252" s="19"/>
      <c r="E252" s="19"/>
      <c r="F252" s="19"/>
    </row>
    <row r="253" ht="15.75" customHeight="1">
      <c r="A253" s="19"/>
      <c r="B253" s="19"/>
      <c r="C253" s="19"/>
      <c r="D253" s="19"/>
      <c r="E253" s="19"/>
      <c r="F253" s="19"/>
    </row>
    <row r="254" ht="15.75" customHeight="1">
      <c r="A254" s="19"/>
      <c r="B254" s="19"/>
      <c r="C254" s="19"/>
      <c r="D254" s="19"/>
      <c r="E254" s="19"/>
      <c r="F254" s="19"/>
    </row>
    <row r="255" ht="15.75" customHeight="1">
      <c r="A255" s="19"/>
      <c r="B255" s="19"/>
      <c r="C255" s="19"/>
      <c r="D255" s="19"/>
      <c r="E255" s="19"/>
      <c r="F255" s="19"/>
    </row>
    <row r="256" ht="15.75" customHeight="1">
      <c r="A256" s="19"/>
      <c r="B256" s="19"/>
      <c r="C256" s="19"/>
      <c r="D256" s="19"/>
      <c r="E256" s="19"/>
      <c r="F256" s="19"/>
    </row>
    <row r="257" ht="15.75" customHeight="1">
      <c r="A257" s="19"/>
      <c r="B257" s="19"/>
      <c r="C257" s="19"/>
      <c r="D257" s="19"/>
      <c r="E257" s="19"/>
      <c r="F257" s="19"/>
    </row>
    <row r="258" ht="15.75" customHeight="1">
      <c r="A258" s="19"/>
      <c r="B258" s="19"/>
      <c r="C258" s="19"/>
      <c r="D258" s="19"/>
      <c r="E258" s="19"/>
      <c r="F258" s="19"/>
    </row>
    <row r="259" ht="15.75" customHeight="1">
      <c r="A259" s="19"/>
      <c r="B259" s="19"/>
      <c r="C259" s="19"/>
      <c r="D259" s="19"/>
      <c r="E259" s="19"/>
      <c r="F259" s="19"/>
    </row>
    <row r="260" ht="15.75" customHeight="1">
      <c r="A260" s="19"/>
      <c r="B260" s="19"/>
      <c r="C260" s="19"/>
      <c r="D260" s="19"/>
      <c r="E260" s="19"/>
      <c r="F260" s="19"/>
    </row>
    <row r="261" ht="15.75" customHeight="1">
      <c r="A261" s="19"/>
      <c r="B261" s="19"/>
      <c r="C261" s="19"/>
      <c r="D261" s="19"/>
      <c r="E261" s="19"/>
      <c r="F261" s="19"/>
    </row>
    <row r="262" ht="15.75" customHeight="1">
      <c r="A262" s="19"/>
      <c r="B262" s="19"/>
      <c r="C262" s="19"/>
      <c r="D262" s="19"/>
      <c r="E262" s="19"/>
      <c r="F262" s="19"/>
    </row>
    <row r="263" ht="15.75" customHeight="1">
      <c r="A263" s="19"/>
      <c r="B263" s="19"/>
      <c r="C263" s="19"/>
      <c r="D263" s="19"/>
      <c r="E263" s="19"/>
      <c r="F263" s="19"/>
    </row>
    <row r="264" ht="15.75" customHeight="1">
      <c r="A264" s="19"/>
      <c r="B264" s="19"/>
      <c r="C264" s="19"/>
      <c r="D264" s="19"/>
      <c r="E264" s="19"/>
      <c r="F264" s="19"/>
    </row>
    <row r="265" ht="15.75" customHeight="1">
      <c r="A265" s="19"/>
      <c r="B265" s="19"/>
      <c r="C265" s="19"/>
      <c r="D265" s="19"/>
      <c r="E265" s="19"/>
      <c r="F265" s="19"/>
    </row>
    <row r="266" ht="15.75" customHeight="1">
      <c r="A266" s="19"/>
      <c r="B266" s="19"/>
      <c r="C266" s="19"/>
      <c r="D266" s="19"/>
      <c r="E266" s="19"/>
      <c r="F266" s="19"/>
    </row>
    <row r="267" ht="15.75" customHeight="1">
      <c r="A267" s="19"/>
      <c r="B267" s="19"/>
      <c r="C267" s="19"/>
      <c r="D267" s="19"/>
      <c r="E267" s="19"/>
      <c r="F267" s="19"/>
    </row>
    <row r="268" ht="15.75" customHeight="1">
      <c r="A268" s="19"/>
      <c r="B268" s="19"/>
      <c r="C268" s="19"/>
      <c r="D268" s="19"/>
      <c r="E268" s="19"/>
      <c r="F268" s="19"/>
    </row>
    <row r="269" ht="15.75" customHeight="1">
      <c r="A269" s="19"/>
      <c r="B269" s="19"/>
      <c r="C269" s="19"/>
      <c r="D269" s="19"/>
      <c r="E269" s="19"/>
      <c r="F269" s="19"/>
    </row>
    <row r="270" ht="15.75" customHeight="1">
      <c r="A270" s="19"/>
      <c r="B270" s="19"/>
      <c r="C270" s="19"/>
      <c r="D270" s="19"/>
      <c r="E270" s="19"/>
      <c r="F270" s="19"/>
    </row>
    <row r="271" ht="15.75" customHeight="1">
      <c r="A271" s="19"/>
      <c r="B271" s="19"/>
      <c r="C271" s="19"/>
      <c r="D271" s="19"/>
      <c r="E271" s="19"/>
      <c r="F271" s="19"/>
    </row>
    <row r="272" ht="15.75" customHeight="1">
      <c r="A272" s="19"/>
      <c r="B272" s="19"/>
      <c r="C272" s="19"/>
      <c r="D272" s="19"/>
      <c r="E272" s="19"/>
      <c r="F272" s="19"/>
    </row>
    <row r="273" ht="15.75" customHeight="1">
      <c r="A273" s="19"/>
      <c r="B273" s="19"/>
      <c r="C273" s="19"/>
      <c r="D273" s="19"/>
      <c r="E273" s="19"/>
      <c r="F273" s="19"/>
    </row>
    <row r="274" ht="15.75" customHeight="1">
      <c r="A274" s="19"/>
      <c r="B274" s="19"/>
      <c r="C274" s="19"/>
      <c r="D274" s="19"/>
      <c r="E274" s="19"/>
      <c r="F274" s="19"/>
    </row>
    <row r="275" ht="15.75" customHeight="1">
      <c r="A275" s="19"/>
      <c r="B275" s="19"/>
      <c r="C275" s="19"/>
      <c r="D275" s="19"/>
      <c r="E275" s="19"/>
      <c r="F275" s="19"/>
    </row>
    <row r="276" ht="15.75" customHeight="1">
      <c r="A276" s="19"/>
      <c r="B276" s="19"/>
      <c r="C276" s="19"/>
      <c r="D276" s="19"/>
      <c r="E276" s="19"/>
      <c r="F276" s="19"/>
    </row>
    <row r="277" ht="15.75" customHeight="1">
      <c r="A277" s="19"/>
      <c r="B277" s="19"/>
      <c r="C277" s="19"/>
      <c r="D277" s="19"/>
      <c r="E277" s="19"/>
      <c r="F277" s="19"/>
    </row>
    <row r="278" ht="15.75" customHeight="1">
      <c r="A278" s="19"/>
      <c r="B278" s="19"/>
      <c r="C278" s="19"/>
      <c r="D278" s="19"/>
      <c r="E278" s="19"/>
      <c r="F278" s="19"/>
    </row>
    <row r="279" ht="15.75" customHeight="1">
      <c r="A279" s="19"/>
      <c r="B279" s="19"/>
      <c r="C279" s="19"/>
      <c r="D279" s="19"/>
      <c r="E279" s="19"/>
      <c r="F279" s="19"/>
    </row>
    <row r="280" ht="15.75" customHeight="1">
      <c r="A280" s="19"/>
      <c r="B280" s="19"/>
      <c r="C280" s="19"/>
      <c r="D280" s="19"/>
      <c r="E280" s="19"/>
      <c r="F280" s="19"/>
    </row>
    <row r="281" ht="15.75" customHeight="1">
      <c r="A281" s="19"/>
      <c r="B281" s="19"/>
      <c r="C281" s="19"/>
      <c r="D281" s="19"/>
      <c r="E281" s="19"/>
      <c r="F281" s="19"/>
    </row>
    <row r="282" ht="15.75" customHeight="1">
      <c r="A282" s="19"/>
      <c r="B282" s="19"/>
      <c r="C282" s="19"/>
      <c r="D282" s="19"/>
      <c r="E282" s="19"/>
      <c r="F282" s="19"/>
    </row>
    <row r="283" ht="15.75" customHeight="1">
      <c r="A283" s="19"/>
      <c r="B283" s="19"/>
      <c r="C283" s="19"/>
      <c r="D283" s="19"/>
      <c r="E283" s="19"/>
      <c r="F283" s="19"/>
    </row>
    <row r="284" ht="15.75" customHeight="1">
      <c r="A284" s="19"/>
      <c r="B284" s="19"/>
      <c r="C284" s="19"/>
      <c r="D284" s="19"/>
      <c r="E284" s="19"/>
      <c r="F284" s="19"/>
    </row>
    <row r="285" ht="15.75" customHeight="1">
      <c r="A285" s="19"/>
      <c r="B285" s="19"/>
      <c r="C285" s="19"/>
      <c r="D285" s="19"/>
      <c r="E285" s="19"/>
      <c r="F285" s="19"/>
    </row>
    <row r="286" ht="15.75" customHeight="1">
      <c r="A286" s="19"/>
      <c r="B286" s="19"/>
      <c r="C286" s="19"/>
      <c r="D286" s="19"/>
      <c r="E286" s="19"/>
      <c r="F286" s="19"/>
    </row>
    <row r="287" ht="15.75" customHeight="1">
      <c r="A287" s="19"/>
      <c r="B287" s="19"/>
      <c r="C287" s="19"/>
      <c r="D287" s="19"/>
      <c r="E287" s="19"/>
      <c r="F287" s="19"/>
    </row>
    <row r="288" ht="15.75" customHeight="1">
      <c r="A288" s="19"/>
      <c r="B288" s="19"/>
      <c r="C288" s="19"/>
      <c r="D288" s="19"/>
      <c r="E288" s="19"/>
      <c r="F288" s="19"/>
    </row>
    <row r="289" ht="15.75" customHeight="1">
      <c r="A289" s="19"/>
      <c r="B289" s="19"/>
      <c r="C289" s="19"/>
      <c r="D289" s="19"/>
      <c r="E289" s="19"/>
      <c r="F289" s="19"/>
    </row>
    <row r="290" ht="15.75" customHeight="1">
      <c r="A290" s="19"/>
      <c r="B290" s="19"/>
      <c r="C290" s="19"/>
      <c r="D290" s="19"/>
      <c r="E290" s="19"/>
      <c r="F290" s="19"/>
    </row>
    <row r="291" ht="15.75" customHeight="1">
      <c r="A291" s="19"/>
      <c r="B291" s="19"/>
      <c r="C291" s="19"/>
      <c r="D291" s="19"/>
      <c r="E291" s="19"/>
      <c r="F291" s="19"/>
    </row>
    <row r="292" ht="15.75" customHeight="1">
      <c r="A292" s="19"/>
      <c r="B292" s="19"/>
      <c r="C292" s="19"/>
      <c r="D292" s="19"/>
      <c r="E292" s="19"/>
      <c r="F292" s="19"/>
    </row>
    <row r="293" ht="15.75" customHeight="1">
      <c r="A293" s="19"/>
      <c r="B293" s="19"/>
      <c r="C293" s="19"/>
      <c r="D293" s="19"/>
      <c r="E293" s="19"/>
      <c r="F293" s="19"/>
    </row>
    <row r="294" ht="15.75" customHeight="1">
      <c r="A294" s="19"/>
      <c r="B294" s="19"/>
      <c r="C294" s="19"/>
      <c r="D294" s="19"/>
      <c r="E294" s="19"/>
      <c r="F294" s="19"/>
    </row>
    <row r="295" ht="15.75" customHeight="1">
      <c r="A295" s="19"/>
      <c r="B295" s="19"/>
      <c r="C295" s="19"/>
      <c r="D295" s="19"/>
      <c r="E295" s="19"/>
      <c r="F295" s="19"/>
    </row>
    <row r="296" ht="15.75" customHeight="1">
      <c r="A296" s="19"/>
      <c r="B296" s="19"/>
      <c r="C296" s="19"/>
      <c r="D296" s="19"/>
      <c r="E296" s="19"/>
      <c r="F296" s="19"/>
    </row>
    <row r="297" ht="15.75" customHeight="1">
      <c r="A297" s="19"/>
      <c r="B297" s="19"/>
      <c r="C297" s="19"/>
      <c r="D297" s="19"/>
      <c r="E297" s="19"/>
      <c r="F297" s="19"/>
    </row>
    <row r="298" ht="15.75" customHeight="1">
      <c r="A298" s="19"/>
      <c r="B298" s="19"/>
      <c r="C298" s="19"/>
      <c r="D298" s="19"/>
      <c r="E298" s="19"/>
      <c r="F298" s="19"/>
    </row>
    <row r="299" ht="15.75" customHeight="1">
      <c r="A299" s="19"/>
      <c r="B299" s="19"/>
      <c r="C299" s="19"/>
      <c r="D299" s="19"/>
      <c r="E299" s="19"/>
      <c r="F299" s="19"/>
    </row>
    <row r="300" ht="15.75" customHeight="1">
      <c r="A300" s="19"/>
      <c r="B300" s="19"/>
      <c r="C300" s="19"/>
      <c r="D300" s="19"/>
      <c r="E300" s="19"/>
      <c r="F300" s="19"/>
    </row>
    <row r="301" ht="15.75" customHeight="1">
      <c r="A301" s="19"/>
      <c r="B301" s="19"/>
      <c r="C301" s="19"/>
      <c r="D301" s="19"/>
      <c r="E301" s="19"/>
      <c r="F301" s="19"/>
    </row>
    <row r="302" ht="15.75" customHeight="1">
      <c r="A302" s="19"/>
      <c r="B302" s="19"/>
      <c r="C302" s="19"/>
      <c r="D302" s="19"/>
      <c r="E302" s="19"/>
      <c r="F302" s="19"/>
    </row>
    <row r="303" ht="15.75" customHeight="1">
      <c r="A303" s="19"/>
      <c r="B303" s="19"/>
      <c r="C303" s="19"/>
      <c r="D303" s="19"/>
      <c r="E303" s="19"/>
      <c r="F303" s="19"/>
    </row>
    <row r="304" ht="15.75" customHeight="1">
      <c r="A304" s="19"/>
      <c r="B304" s="19"/>
      <c r="C304" s="19"/>
      <c r="D304" s="19"/>
      <c r="E304" s="19"/>
      <c r="F304" s="19"/>
    </row>
    <row r="305" ht="15.75" customHeight="1">
      <c r="A305" s="19"/>
      <c r="B305" s="19"/>
      <c r="C305" s="19"/>
      <c r="D305" s="19"/>
      <c r="E305" s="19"/>
      <c r="F305" s="19"/>
    </row>
    <row r="306" ht="15.75" customHeight="1">
      <c r="A306" s="19"/>
      <c r="B306" s="19"/>
      <c r="C306" s="19"/>
      <c r="D306" s="19"/>
      <c r="E306" s="19"/>
      <c r="F306" s="19"/>
    </row>
    <row r="307" ht="15.75" customHeight="1">
      <c r="A307" s="19"/>
      <c r="B307" s="19"/>
      <c r="C307" s="19"/>
      <c r="D307" s="19"/>
      <c r="E307" s="19"/>
      <c r="F307" s="19"/>
    </row>
    <row r="308" ht="15.75" customHeight="1">
      <c r="A308" s="19"/>
      <c r="B308" s="19"/>
      <c r="C308" s="19"/>
      <c r="D308" s="19"/>
      <c r="E308" s="19"/>
      <c r="F308" s="19"/>
    </row>
    <row r="309" ht="15.75" customHeight="1">
      <c r="A309" s="19"/>
      <c r="B309" s="19"/>
      <c r="C309" s="19"/>
      <c r="D309" s="19"/>
      <c r="E309" s="19"/>
      <c r="F309" s="19"/>
    </row>
    <row r="310" ht="15.75" customHeight="1">
      <c r="A310" s="19"/>
      <c r="B310" s="19"/>
      <c r="C310" s="19"/>
      <c r="D310" s="19"/>
      <c r="E310" s="19"/>
      <c r="F310" s="19"/>
    </row>
    <row r="311" ht="15.75" customHeight="1">
      <c r="A311" s="19"/>
      <c r="B311" s="19"/>
      <c r="C311" s="19"/>
      <c r="D311" s="19"/>
      <c r="E311" s="19"/>
      <c r="F311" s="19"/>
    </row>
    <row r="312" ht="15.75" customHeight="1">
      <c r="A312" s="19"/>
      <c r="B312" s="19"/>
      <c r="C312" s="19"/>
      <c r="D312" s="19"/>
      <c r="E312" s="19"/>
      <c r="F312" s="19"/>
    </row>
    <row r="313" ht="15.75" customHeight="1">
      <c r="A313" s="19"/>
      <c r="B313" s="19"/>
      <c r="C313" s="19"/>
      <c r="D313" s="19"/>
      <c r="E313" s="19"/>
      <c r="F313" s="19"/>
    </row>
    <row r="314" ht="15.75" customHeight="1">
      <c r="A314" s="19"/>
      <c r="B314" s="19"/>
      <c r="C314" s="19"/>
      <c r="D314" s="19"/>
      <c r="E314" s="19"/>
      <c r="F314" s="19"/>
    </row>
    <row r="315" ht="15.75" customHeight="1">
      <c r="A315" s="19"/>
      <c r="B315" s="19"/>
      <c r="C315" s="19"/>
      <c r="D315" s="19"/>
      <c r="E315" s="19"/>
      <c r="F315" s="19"/>
    </row>
    <row r="316" ht="15.75" customHeight="1">
      <c r="A316" s="19"/>
      <c r="B316" s="19"/>
      <c r="C316" s="19"/>
      <c r="D316" s="19"/>
      <c r="E316" s="19"/>
      <c r="F316" s="19"/>
    </row>
    <row r="317" ht="15.75" customHeight="1">
      <c r="A317" s="19"/>
      <c r="B317" s="19"/>
      <c r="C317" s="19"/>
      <c r="D317" s="19"/>
      <c r="E317" s="19"/>
      <c r="F317" s="19"/>
    </row>
    <row r="318" ht="15.75" customHeight="1">
      <c r="A318" s="19"/>
      <c r="B318" s="19"/>
      <c r="C318" s="19"/>
      <c r="D318" s="19"/>
      <c r="E318" s="19"/>
      <c r="F318" s="19"/>
    </row>
    <row r="319" ht="15.75" customHeight="1">
      <c r="A319" s="19"/>
      <c r="B319" s="19"/>
      <c r="C319" s="19"/>
      <c r="D319" s="19"/>
      <c r="E319" s="19"/>
      <c r="F319" s="19"/>
    </row>
    <row r="320" ht="15.75" customHeight="1">
      <c r="A320" s="19"/>
      <c r="B320" s="19"/>
      <c r="C320" s="19"/>
      <c r="D320" s="19"/>
      <c r="E320" s="19"/>
      <c r="F320" s="19"/>
    </row>
    <row r="321" ht="15.75" customHeight="1">
      <c r="A321" s="19"/>
      <c r="B321" s="19"/>
      <c r="C321" s="19"/>
      <c r="D321" s="19"/>
      <c r="E321" s="19"/>
      <c r="F321" s="19"/>
    </row>
    <row r="322" ht="15.75" customHeight="1">
      <c r="A322" s="19"/>
      <c r="B322" s="19"/>
      <c r="C322" s="19"/>
      <c r="D322" s="19"/>
      <c r="E322" s="19"/>
      <c r="F322" s="19"/>
    </row>
    <row r="323" ht="15.75" customHeight="1">
      <c r="A323" s="19"/>
      <c r="B323" s="19"/>
      <c r="C323" s="19"/>
      <c r="D323" s="19"/>
      <c r="E323" s="19"/>
      <c r="F323" s="19"/>
    </row>
    <row r="324" ht="15.75" customHeight="1">
      <c r="A324" s="19"/>
      <c r="B324" s="19"/>
      <c r="C324" s="19"/>
      <c r="D324" s="19"/>
      <c r="E324" s="19"/>
      <c r="F324" s="19"/>
    </row>
    <row r="325" ht="15.75" customHeight="1">
      <c r="A325" s="19"/>
      <c r="B325" s="19"/>
      <c r="C325" s="19"/>
      <c r="D325" s="19"/>
      <c r="E325" s="19"/>
      <c r="F325" s="19"/>
    </row>
    <row r="326" ht="15.75" customHeight="1">
      <c r="A326" s="19"/>
      <c r="B326" s="19"/>
      <c r="C326" s="19"/>
      <c r="D326" s="19"/>
      <c r="E326" s="19"/>
      <c r="F326" s="19"/>
    </row>
    <row r="327" ht="15.75" customHeight="1">
      <c r="A327" s="19"/>
      <c r="B327" s="19"/>
      <c r="C327" s="19"/>
      <c r="D327" s="19"/>
      <c r="E327" s="19"/>
      <c r="F327" s="19"/>
    </row>
    <row r="328" ht="15.75" customHeight="1">
      <c r="A328" s="19"/>
      <c r="B328" s="19"/>
      <c r="C328" s="19"/>
      <c r="D328" s="19"/>
      <c r="E328" s="19"/>
      <c r="F328" s="19"/>
    </row>
    <row r="329" ht="15.75" customHeight="1">
      <c r="A329" s="19"/>
      <c r="B329" s="19"/>
      <c r="C329" s="19"/>
      <c r="D329" s="19"/>
      <c r="E329" s="19"/>
      <c r="F329" s="19"/>
    </row>
    <row r="330" ht="15.75" customHeight="1">
      <c r="A330" s="19"/>
      <c r="B330" s="19"/>
      <c r="C330" s="19"/>
      <c r="D330" s="19"/>
      <c r="E330" s="19"/>
      <c r="F330" s="19"/>
    </row>
    <row r="331" ht="15.75" customHeight="1">
      <c r="A331" s="19"/>
      <c r="B331" s="19"/>
      <c r="C331" s="19"/>
      <c r="D331" s="19"/>
      <c r="E331" s="19"/>
      <c r="F331" s="19"/>
    </row>
    <row r="332" ht="15.75" customHeight="1">
      <c r="A332" s="19"/>
      <c r="B332" s="19"/>
      <c r="C332" s="19"/>
      <c r="D332" s="19"/>
      <c r="E332" s="19"/>
      <c r="F332" s="19"/>
    </row>
    <row r="333" ht="15.75" customHeight="1">
      <c r="A333" s="19"/>
      <c r="B333" s="19"/>
      <c r="C333" s="19"/>
      <c r="D333" s="19"/>
      <c r="E333" s="19"/>
      <c r="F333" s="19"/>
    </row>
    <row r="334" ht="15.75" customHeight="1">
      <c r="A334" s="19"/>
      <c r="B334" s="19"/>
      <c r="C334" s="19"/>
      <c r="D334" s="19"/>
      <c r="E334" s="19"/>
      <c r="F334" s="19"/>
    </row>
    <row r="335" ht="15.75" customHeight="1">
      <c r="A335" s="19"/>
      <c r="B335" s="19"/>
      <c r="C335" s="19"/>
      <c r="D335" s="19"/>
      <c r="E335" s="19"/>
      <c r="F335" s="19"/>
    </row>
    <row r="336" ht="15.75" customHeight="1">
      <c r="A336" s="19"/>
      <c r="B336" s="19"/>
      <c r="C336" s="19"/>
      <c r="D336" s="19"/>
      <c r="E336" s="19"/>
      <c r="F336" s="19"/>
    </row>
    <row r="337" ht="15.75" customHeight="1">
      <c r="A337" s="19"/>
      <c r="B337" s="19"/>
      <c r="C337" s="19"/>
      <c r="D337" s="19"/>
      <c r="E337" s="19"/>
      <c r="F337" s="19"/>
    </row>
    <row r="338" ht="15.75" customHeight="1">
      <c r="A338" s="19"/>
      <c r="B338" s="19"/>
      <c r="C338" s="19"/>
      <c r="D338" s="19"/>
      <c r="E338" s="19"/>
      <c r="F338" s="19"/>
    </row>
    <row r="339" ht="15.75" customHeight="1">
      <c r="A339" s="19"/>
      <c r="B339" s="19"/>
      <c r="C339" s="19"/>
      <c r="D339" s="19"/>
      <c r="E339" s="19"/>
      <c r="F339" s="19"/>
    </row>
    <row r="340" ht="15.75" customHeight="1">
      <c r="A340" s="19"/>
      <c r="B340" s="19"/>
      <c r="C340" s="19"/>
      <c r="D340" s="19"/>
      <c r="E340" s="19"/>
      <c r="F340" s="19"/>
    </row>
    <row r="341" ht="15.75" customHeight="1">
      <c r="A341" s="19"/>
      <c r="B341" s="19"/>
      <c r="C341" s="19"/>
      <c r="D341" s="19"/>
      <c r="E341" s="19"/>
      <c r="F341" s="19"/>
    </row>
    <row r="342" ht="15.75" customHeight="1">
      <c r="A342" s="19"/>
      <c r="B342" s="19"/>
      <c r="C342" s="19"/>
      <c r="D342" s="19"/>
      <c r="E342" s="19"/>
      <c r="F342" s="19"/>
    </row>
    <row r="343" ht="15.75" customHeight="1">
      <c r="A343" s="19"/>
      <c r="B343" s="19"/>
      <c r="C343" s="19"/>
      <c r="D343" s="19"/>
      <c r="E343" s="19"/>
      <c r="F343" s="19"/>
    </row>
    <row r="344" ht="15.75" customHeight="1">
      <c r="A344" s="19"/>
      <c r="B344" s="19"/>
      <c r="C344" s="19"/>
      <c r="D344" s="19"/>
      <c r="E344" s="19"/>
      <c r="F344" s="19"/>
    </row>
    <row r="345" ht="15.75" customHeight="1">
      <c r="A345" s="19"/>
      <c r="B345" s="19"/>
      <c r="C345" s="19"/>
      <c r="D345" s="19"/>
      <c r="E345" s="19"/>
      <c r="F345" s="19"/>
    </row>
    <row r="346" ht="15.75" customHeight="1">
      <c r="A346" s="19"/>
      <c r="B346" s="19"/>
      <c r="C346" s="19"/>
      <c r="D346" s="19"/>
      <c r="E346" s="19"/>
      <c r="F346" s="19"/>
    </row>
    <row r="347" ht="15.75" customHeight="1">
      <c r="A347" s="19"/>
      <c r="B347" s="19"/>
      <c r="C347" s="19"/>
      <c r="D347" s="19"/>
      <c r="E347" s="19"/>
      <c r="F347" s="19"/>
    </row>
    <row r="348" ht="15.75" customHeight="1">
      <c r="A348" s="19"/>
      <c r="B348" s="19"/>
      <c r="C348" s="19"/>
      <c r="D348" s="19"/>
      <c r="E348" s="19"/>
      <c r="F348" s="19"/>
    </row>
    <row r="349" ht="15.75" customHeight="1">
      <c r="A349" s="19"/>
      <c r="B349" s="19"/>
      <c r="C349" s="19"/>
      <c r="D349" s="19"/>
      <c r="E349" s="19"/>
      <c r="F349" s="19"/>
    </row>
    <row r="350" ht="15.75" customHeight="1">
      <c r="A350" s="19"/>
      <c r="B350" s="19"/>
      <c r="C350" s="19"/>
      <c r="D350" s="19"/>
      <c r="E350" s="19"/>
      <c r="F350" s="19"/>
    </row>
    <row r="351" ht="15.75" customHeight="1">
      <c r="A351" s="19"/>
      <c r="B351" s="19"/>
      <c r="C351" s="19"/>
      <c r="D351" s="19"/>
      <c r="E351" s="19"/>
      <c r="F351" s="19"/>
    </row>
    <row r="352" ht="15.75" customHeight="1">
      <c r="A352" s="19"/>
      <c r="B352" s="19"/>
      <c r="C352" s="19"/>
      <c r="D352" s="19"/>
      <c r="E352" s="19"/>
      <c r="F352" s="19"/>
    </row>
    <row r="353" ht="15.75" customHeight="1">
      <c r="A353" s="19"/>
      <c r="B353" s="19"/>
      <c r="C353" s="19"/>
      <c r="D353" s="19"/>
      <c r="E353" s="19"/>
      <c r="F353" s="19"/>
    </row>
    <row r="354" ht="15.75" customHeight="1">
      <c r="A354" s="19"/>
      <c r="B354" s="19"/>
      <c r="C354" s="19"/>
      <c r="D354" s="19"/>
      <c r="E354" s="19"/>
      <c r="F354" s="19"/>
    </row>
    <row r="355" ht="15.75" customHeight="1">
      <c r="A355" s="19"/>
      <c r="B355" s="19"/>
      <c r="C355" s="19"/>
      <c r="D355" s="19"/>
      <c r="E355" s="19"/>
      <c r="F355" s="19"/>
    </row>
    <row r="356" ht="15.75" customHeight="1">
      <c r="A356" s="19"/>
      <c r="B356" s="19"/>
      <c r="C356" s="19"/>
      <c r="D356" s="19"/>
      <c r="E356" s="19"/>
      <c r="F356" s="19"/>
    </row>
    <row r="357" ht="15.75" customHeight="1">
      <c r="A357" s="19"/>
      <c r="B357" s="19"/>
      <c r="C357" s="19"/>
      <c r="D357" s="19"/>
      <c r="E357" s="19"/>
      <c r="F357" s="19"/>
    </row>
    <row r="358" ht="15.75" customHeight="1">
      <c r="A358" s="19"/>
      <c r="B358" s="19"/>
      <c r="C358" s="19"/>
      <c r="D358" s="19"/>
      <c r="E358" s="19"/>
      <c r="F358" s="19"/>
    </row>
    <row r="359" ht="15.75" customHeight="1">
      <c r="A359" s="19"/>
      <c r="B359" s="19"/>
      <c r="C359" s="19"/>
      <c r="D359" s="19"/>
      <c r="E359" s="19"/>
      <c r="F359" s="19"/>
    </row>
    <row r="360" ht="15.75" customHeight="1">
      <c r="A360" s="19"/>
      <c r="B360" s="19"/>
      <c r="C360" s="19"/>
      <c r="D360" s="19"/>
      <c r="E360" s="19"/>
      <c r="F360" s="19"/>
    </row>
    <row r="361" ht="15.75" customHeight="1">
      <c r="A361" s="19"/>
      <c r="B361" s="19"/>
      <c r="C361" s="19"/>
      <c r="D361" s="19"/>
      <c r="E361" s="19"/>
      <c r="F361" s="19"/>
    </row>
    <row r="362" ht="15.75" customHeight="1">
      <c r="A362" s="19"/>
      <c r="B362" s="19"/>
      <c r="C362" s="19"/>
      <c r="D362" s="19"/>
      <c r="E362" s="19"/>
      <c r="F362" s="19"/>
    </row>
    <row r="363" ht="15.75" customHeight="1">
      <c r="A363" s="19"/>
      <c r="B363" s="19"/>
      <c r="C363" s="19"/>
      <c r="D363" s="19"/>
      <c r="E363" s="19"/>
      <c r="F363" s="19"/>
    </row>
    <row r="364" ht="15.75" customHeight="1">
      <c r="A364" s="19"/>
      <c r="B364" s="19"/>
      <c r="C364" s="19"/>
      <c r="D364" s="19"/>
      <c r="E364" s="19"/>
      <c r="F364" s="19"/>
    </row>
    <row r="365" ht="15.75" customHeight="1">
      <c r="A365" s="19"/>
      <c r="B365" s="19"/>
      <c r="C365" s="19"/>
      <c r="D365" s="19"/>
      <c r="E365" s="19"/>
      <c r="F365" s="19"/>
    </row>
    <row r="366" ht="15.75" customHeight="1">
      <c r="A366" s="19"/>
      <c r="B366" s="19"/>
      <c r="C366" s="19"/>
      <c r="D366" s="19"/>
      <c r="E366" s="19"/>
      <c r="F366" s="19"/>
    </row>
    <row r="367" ht="15.75" customHeight="1">
      <c r="A367" s="19"/>
      <c r="B367" s="19"/>
      <c r="C367" s="19"/>
      <c r="D367" s="19"/>
      <c r="E367" s="19"/>
      <c r="F367" s="19"/>
    </row>
    <row r="368" ht="15.75" customHeight="1">
      <c r="A368" s="19"/>
      <c r="B368" s="19"/>
      <c r="C368" s="19"/>
      <c r="D368" s="19"/>
      <c r="E368" s="19"/>
      <c r="F368" s="19"/>
    </row>
    <row r="369" ht="15.75" customHeight="1">
      <c r="A369" s="19"/>
      <c r="B369" s="19"/>
      <c r="C369" s="19"/>
      <c r="D369" s="19"/>
      <c r="E369" s="19"/>
      <c r="F369" s="19"/>
    </row>
    <row r="370" ht="15.75" customHeight="1">
      <c r="A370" s="19"/>
      <c r="B370" s="19"/>
      <c r="C370" s="19"/>
      <c r="D370" s="19"/>
      <c r="E370" s="19"/>
      <c r="F370" s="19"/>
    </row>
    <row r="371" ht="15.75" customHeight="1">
      <c r="A371" s="19"/>
      <c r="B371" s="19"/>
      <c r="C371" s="19"/>
      <c r="D371" s="19"/>
      <c r="E371" s="19"/>
      <c r="F371" s="19"/>
    </row>
    <row r="372" ht="15.75" customHeight="1">
      <c r="A372" s="19"/>
      <c r="B372" s="19"/>
      <c r="C372" s="19"/>
      <c r="D372" s="19"/>
      <c r="E372" s="19"/>
      <c r="F372" s="19"/>
    </row>
    <row r="373" ht="15.75" customHeight="1">
      <c r="A373" s="19"/>
      <c r="B373" s="19"/>
      <c r="C373" s="19"/>
      <c r="D373" s="19"/>
      <c r="E373" s="19"/>
      <c r="F373" s="19"/>
    </row>
    <row r="374" ht="15.75" customHeight="1">
      <c r="A374" s="19"/>
      <c r="B374" s="19"/>
      <c r="C374" s="19"/>
      <c r="D374" s="19"/>
      <c r="E374" s="19"/>
      <c r="F374" s="19"/>
    </row>
    <row r="375" ht="15.75" customHeight="1">
      <c r="A375" s="19"/>
      <c r="B375" s="19"/>
      <c r="C375" s="19"/>
      <c r="D375" s="19"/>
      <c r="E375" s="19"/>
      <c r="F375" s="19"/>
    </row>
    <row r="376" ht="15.75" customHeight="1">
      <c r="A376" s="19"/>
      <c r="B376" s="19"/>
      <c r="C376" s="19"/>
      <c r="D376" s="19"/>
      <c r="E376" s="19"/>
      <c r="F376" s="19"/>
    </row>
    <row r="377" ht="15.75" customHeight="1">
      <c r="A377" s="19"/>
      <c r="B377" s="19"/>
      <c r="C377" s="19"/>
      <c r="D377" s="19"/>
      <c r="E377" s="19"/>
      <c r="F377" s="19"/>
    </row>
    <row r="378" ht="15.75" customHeight="1">
      <c r="A378" s="19"/>
      <c r="B378" s="19"/>
      <c r="C378" s="19"/>
      <c r="D378" s="19"/>
      <c r="E378" s="19"/>
      <c r="F378" s="19"/>
    </row>
    <row r="379" ht="15.75" customHeight="1">
      <c r="A379" s="19"/>
      <c r="B379" s="19"/>
      <c r="C379" s="19"/>
      <c r="D379" s="19"/>
      <c r="E379" s="19"/>
      <c r="F379" s="19"/>
    </row>
    <row r="380" ht="15.75" customHeight="1">
      <c r="A380" s="19"/>
      <c r="B380" s="19"/>
      <c r="C380" s="19"/>
      <c r="D380" s="19"/>
      <c r="E380" s="19"/>
      <c r="F380" s="19"/>
    </row>
    <row r="381" ht="15.75" customHeight="1">
      <c r="A381" s="19"/>
      <c r="B381" s="19"/>
      <c r="C381" s="19"/>
      <c r="D381" s="19"/>
      <c r="E381" s="19"/>
      <c r="F381" s="19"/>
    </row>
    <row r="382" ht="15.75" customHeight="1">
      <c r="A382" s="19"/>
      <c r="B382" s="19"/>
      <c r="C382" s="19"/>
      <c r="D382" s="19"/>
      <c r="E382" s="19"/>
      <c r="F382" s="19"/>
    </row>
    <row r="383" ht="15.75" customHeight="1">
      <c r="A383" s="19"/>
      <c r="B383" s="19"/>
      <c r="C383" s="19"/>
      <c r="D383" s="19"/>
      <c r="E383" s="19"/>
      <c r="F383" s="19"/>
    </row>
    <row r="384" ht="15.75" customHeight="1">
      <c r="A384" s="19"/>
      <c r="B384" s="19"/>
      <c r="C384" s="19"/>
      <c r="D384" s="19"/>
      <c r="E384" s="19"/>
      <c r="F384" s="19"/>
    </row>
    <row r="385" ht="15.75" customHeight="1">
      <c r="A385" s="19"/>
      <c r="B385" s="19"/>
      <c r="C385" s="19"/>
      <c r="D385" s="19"/>
      <c r="E385" s="19"/>
      <c r="F385" s="19"/>
    </row>
    <row r="386" ht="15.75" customHeight="1">
      <c r="A386" s="19"/>
      <c r="B386" s="19"/>
      <c r="C386" s="19"/>
      <c r="D386" s="19"/>
      <c r="E386" s="19"/>
      <c r="F386" s="19"/>
    </row>
    <row r="387" ht="15.75" customHeight="1">
      <c r="A387" s="19"/>
      <c r="B387" s="19"/>
      <c r="C387" s="19"/>
      <c r="D387" s="19"/>
      <c r="E387" s="19"/>
      <c r="F387" s="19"/>
    </row>
    <row r="388" ht="15.75" customHeight="1">
      <c r="A388" s="19"/>
      <c r="B388" s="19"/>
      <c r="C388" s="19"/>
      <c r="D388" s="19"/>
      <c r="E388" s="19"/>
      <c r="F388" s="19"/>
    </row>
    <row r="389" ht="15.75" customHeight="1">
      <c r="A389" s="19"/>
      <c r="B389" s="19"/>
      <c r="C389" s="19"/>
      <c r="D389" s="19"/>
      <c r="E389" s="19"/>
      <c r="F389" s="19"/>
    </row>
    <row r="390" ht="15.75" customHeight="1">
      <c r="A390" s="19"/>
      <c r="B390" s="19"/>
      <c r="C390" s="19"/>
      <c r="D390" s="19"/>
      <c r="E390" s="19"/>
      <c r="F390" s="19"/>
    </row>
    <row r="391" ht="15.75" customHeight="1">
      <c r="A391" s="19"/>
      <c r="B391" s="19"/>
      <c r="C391" s="19"/>
      <c r="D391" s="19"/>
      <c r="E391" s="19"/>
      <c r="F391" s="19"/>
    </row>
    <row r="392" ht="15.75" customHeight="1">
      <c r="A392" s="19"/>
      <c r="B392" s="19"/>
      <c r="C392" s="19"/>
      <c r="D392" s="19"/>
      <c r="E392" s="19"/>
      <c r="F392" s="19"/>
    </row>
    <row r="393" ht="15.75" customHeight="1">
      <c r="A393" s="19"/>
      <c r="B393" s="19"/>
      <c r="C393" s="19"/>
      <c r="D393" s="19"/>
      <c r="E393" s="19"/>
      <c r="F393" s="19"/>
    </row>
    <row r="394" ht="15.75" customHeight="1">
      <c r="A394" s="19"/>
      <c r="B394" s="19"/>
      <c r="C394" s="19"/>
      <c r="D394" s="19"/>
      <c r="E394" s="19"/>
      <c r="F394" s="19"/>
    </row>
    <row r="395" ht="15.75" customHeight="1">
      <c r="A395" s="19"/>
      <c r="B395" s="19"/>
      <c r="C395" s="19"/>
      <c r="D395" s="19"/>
      <c r="E395" s="19"/>
      <c r="F395" s="19"/>
    </row>
    <row r="396" ht="15.75" customHeight="1">
      <c r="A396" s="19"/>
      <c r="B396" s="19"/>
      <c r="C396" s="19"/>
      <c r="D396" s="19"/>
      <c r="E396" s="19"/>
      <c r="F396" s="19"/>
    </row>
    <row r="397" ht="15.75" customHeight="1">
      <c r="A397" s="19"/>
      <c r="B397" s="19"/>
      <c r="C397" s="19"/>
      <c r="D397" s="19"/>
      <c r="E397" s="19"/>
      <c r="F397" s="19"/>
    </row>
    <row r="398" ht="15.75" customHeight="1">
      <c r="A398" s="19"/>
      <c r="B398" s="19"/>
      <c r="C398" s="19"/>
      <c r="D398" s="19"/>
      <c r="E398" s="19"/>
      <c r="F398" s="19"/>
    </row>
    <row r="399" ht="15.75" customHeight="1">
      <c r="A399" s="19"/>
      <c r="B399" s="19"/>
      <c r="C399" s="19"/>
      <c r="D399" s="19"/>
      <c r="E399" s="19"/>
      <c r="F399" s="19"/>
    </row>
    <row r="400" ht="15.75" customHeight="1">
      <c r="A400" s="19"/>
      <c r="B400" s="19"/>
      <c r="C400" s="19"/>
      <c r="D400" s="19"/>
      <c r="E400" s="19"/>
      <c r="F400" s="19"/>
    </row>
    <row r="401" ht="15.75" customHeight="1">
      <c r="A401" s="19"/>
      <c r="B401" s="19"/>
      <c r="C401" s="19"/>
      <c r="D401" s="19"/>
      <c r="E401" s="19"/>
      <c r="F401" s="19"/>
    </row>
    <row r="402" ht="15.75" customHeight="1">
      <c r="A402" s="19"/>
      <c r="B402" s="19"/>
      <c r="C402" s="19"/>
      <c r="D402" s="19"/>
      <c r="E402" s="19"/>
      <c r="F402" s="19"/>
    </row>
    <row r="403" ht="15.75" customHeight="1">
      <c r="A403" s="19"/>
      <c r="B403" s="19"/>
      <c r="C403" s="19"/>
      <c r="D403" s="19"/>
      <c r="E403" s="19"/>
      <c r="F403" s="19"/>
    </row>
    <row r="404" ht="15.75" customHeight="1">
      <c r="A404" s="19"/>
      <c r="B404" s="19"/>
      <c r="C404" s="19"/>
      <c r="D404" s="19"/>
      <c r="E404" s="19"/>
      <c r="F404" s="19"/>
    </row>
    <row r="405" ht="15.75" customHeight="1">
      <c r="A405" s="19"/>
      <c r="B405" s="19"/>
      <c r="C405" s="19"/>
      <c r="D405" s="19"/>
      <c r="E405" s="19"/>
      <c r="F405" s="19"/>
    </row>
    <row r="406" ht="15.75" customHeight="1">
      <c r="A406" s="19"/>
      <c r="B406" s="19"/>
      <c r="C406" s="19"/>
      <c r="D406" s="19"/>
      <c r="E406" s="19"/>
      <c r="F406" s="19"/>
    </row>
    <row r="407" ht="15.75" customHeight="1">
      <c r="A407" s="19"/>
      <c r="B407" s="19"/>
      <c r="C407" s="19"/>
      <c r="D407" s="19"/>
      <c r="E407" s="19"/>
      <c r="F407" s="19"/>
    </row>
    <row r="408" ht="15.75" customHeight="1">
      <c r="A408" s="19"/>
      <c r="B408" s="19"/>
      <c r="C408" s="19"/>
      <c r="D408" s="19"/>
      <c r="E408" s="19"/>
      <c r="F408" s="19"/>
    </row>
    <row r="409" ht="15.75" customHeight="1">
      <c r="A409" s="19"/>
      <c r="B409" s="19"/>
      <c r="C409" s="19"/>
      <c r="D409" s="19"/>
      <c r="E409" s="19"/>
      <c r="F409" s="19"/>
    </row>
    <row r="410" ht="15.75" customHeight="1">
      <c r="A410" s="19"/>
      <c r="B410" s="19"/>
      <c r="C410" s="19"/>
      <c r="D410" s="19"/>
      <c r="E410" s="19"/>
      <c r="F410" s="19"/>
    </row>
    <row r="411" ht="15.75" customHeight="1">
      <c r="A411" s="19"/>
      <c r="B411" s="19"/>
      <c r="C411" s="19"/>
      <c r="D411" s="19"/>
      <c r="E411" s="19"/>
      <c r="F411" s="19"/>
    </row>
    <row r="412" ht="15.75" customHeight="1">
      <c r="A412" s="19"/>
      <c r="B412" s="19"/>
      <c r="C412" s="19"/>
      <c r="D412" s="19"/>
      <c r="E412" s="19"/>
      <c r="F412" s="19"/>
    </row>
    <row r="413" ht="15.75" customHeight="1">
      <c r="A413" s="19"/>
      <c r="B413" s="19"/>
      <c r="C413" s="19"/>
      <c r="D413" s="19"/>
      <c r="E413" s="19"/>
      <c r="F413" s="19"/>
    </row>
    <row r="414" ht="15.75" customHeight="1">
      <c r="A414" s="19"/>
      <c r="B414" s="19"/>
      <c r="C414" s="19"/>
      <c r="D414" s="19"/>
      <c r="E414" s="19"/>
      <c r="F414" s="19"/>
    </row>
    <row r="415" ht="15.75" customHeight="1">
      <c r="A415" s="19"/>
      <c r="B415" s="19"/>
      <c r="C415" s="19"/>
      <c r="D415" s="19"/>
      <c r="E415" s="19"/>
      <c r="F415" s="19"/>
    </row>
    <row r="416" ht="15.75" customHeight="1">
      <c r="A416" s="19"/>
      <c r="B416" s="19"/>
      <c r="C416" s="19"/>
      <c r="D416" s="19"/>
      <c r="E416" s="19"/>
      <c r="F416" s="19"/>
    </row>
    <row r="417" ht="15.75" customHeight="1">
      <c r="A417" s="19"/>
      <c r="B417" s="19"/>
      <c r="C417" s="19"/>
      <c r="D417" s="19"/>
      <c r="E417" s="19"/>
      <c r="F417" s="19"/>
    </row>
    <row r="418" ht="15.75" customHeight="1">
      <c r="A418" s="19"/>
      <c r="B418" s="19"/>
      <c r="C418" s="19"/>
      <c r="D418" s="19"/>
      <c r="E418" s="19"/>
      <c r="F418" s="19"/>
    </row>
    <row r="419" ht="15.75" customHeight="1">
      <c r="A419" s="19"/>
      <c r="B419" s="19"/>
      <c r="C419" s="19"/>
      <c r="D419" s="19"/>
      <c r="E419" s="19"/>
      <c r="F419" s="19"/>
    </row>
    <row r="420" ht="15.75" customHeight="1">
      <c r="A420" s="19"/>
      <c r="B420" s="19"/>
      <c r="C420" s="19"/>
      <c r="D420" s="19"/>
      <c r="E420" s="19"/>
      <c r="F420" s="19"/>
    </row>
    <row r="421" ht="15.75" customHeight="1">
      <c r="A421" s="19"/>
      <c r="B421" s="19"/>
      <c r="C421" s="19"/>
      <c r="D421" s="19"/>
      <c r="E421" s="19"/>
      <c r="F421" s="19"/>
    </row>
    <row r="422" ht="15.75" customHeight="1">
      <c r="A422" s="19"/>
      <c r="B422" s="19"/>
      <c r="C422" s="19"/>
      <c r="D422" s="19"/>
      <c r="E422" s="19"/>
      <c r="F422" s="19"/>
    </row>
    <row r="423" ht="15.75" customHeight="1">
      <c r="A423" s="19"/>
      <c r="B423" s="19"/>
      <c r="C423" s="19"/>
      <c r="D423" s="19"/>
      <c r="E423" s="19"/>
      <c r="F423" s="19"/>
    </row>
    <row r="424" ht="15.75" customHeight="1">
      <c r="A424" s="19"/>
      <c r="B424" s="19"/>
      <c r="C424" s="19"/>
      <c r="D424" s="19"/>
      <c r="E424" s="19"/>
      <c r="F424" s="19"/>
    </row>
    <row r="425" ht="15.75" customHeight="1">
      <c r="A425" s="19"/>
      <c r="B425" s="19"/>
      <c r="C425" s="19"/>
      <c r="D425" s="19"/>
      <c r="E425" s="19"/>
      <c r="F425" s="19"/>
    </row>
    <row r="426" ht="15.75" customHeight="1">
      <c r="A426" s="19"/>
      <c r="B426" s="19"/>
      <c r="C426" s="19"/>
      <c r="D426" s="19"/>
      <c r="E426" s="19"/>
      <c r="F426" s="19"/>
    </row>
    <row r="427" ht="15.75" customHeight="1">
      <c r="A427" s="19"/>
      <c r="B427" s="19"/>
      <c r="C427" s="19"/>
      <c r="D427" s="19"/>
      <c r="E427" s="19"/>
      <c r="F427" s="19"/>
    </row>
    <row r="428" ht="15.75" customHeight="1">
      <c r="A428" s="19"/>
      <c r="B428" s="19"/>
      <c r="C428" s="19"/>
      <c r="D428" s="19"/>
      <c r="E428" s="19"/>
      <c r="F428" s="19"/>
    </row>
    <row r="429" ht="15.75" customHeight="1">
      <c r="A429" s="19"/>
      <c r="B429" s="19"/>
      <c r="C429" s="19"/>
      <c r="D429" s="19"/>
      <c r="E429" s="19"/>
      <c r="F429" s="19"/>
    </row>
    <row r="430" ht="15.75" customHeight="1">
      <c r="A430" s="19"/>
      <c r="B430" s="19"/>
      <c r="C430" s="19"/>
      <c r="D430" s="19"/>
      <c r="E430" s="19"/>
      <c r="F430" s="19"/>
    </row>
    <row r="431" ht="15.75" customHeight="1">
      <c r="A431" s="19"/>
      <c r="B431" s="19"/>
      <c r="C431" s="19"/>
      <c r="D431" s="19"/>
      <c r="E431" s="19"/>
      <c r="F431" s="19"/>
    </row>
    <row r="432" ht="15.75" customHeight="1">
      <c r="A432" s="19"/>
      <c r="B432" s="19"/>
      <c r="C432" s="19"/>
      <c r="D432" s="19"/>
      <c r="E432" s="19"/>
      <c r="F432" s="19"/>
    </row>
    <row r="433" ht="15.75" customHeight="1">
      <c r="A433" s="19"/>
      <c r="B433" s="19"/>
      <c r="C433" s="19"/>
      <c r="D433" s="19"/>
      <c r="E433" s="19"/>
      <c r="F433" s="19"/>
    </row>
    <row r="434" ht="15.75" customHeight="1">
      <c r="A434" s="19"/>
      <c r="B434" s="19"/>
      <c r="C434" s="19"/>
      <c r="D434" s="19"/>
      <c r="E434" s="19"/>
      <c r="F434" s="19"/>
    </row>
    <row r="435" ht="15.75" customHeight="1">
      <c r="A435" s="19"/>
      <c r="B435" s="19"/>
      <c r="C435" s="19"/>
      <c r="D435" s="19"/>
      <c r="E435" s="19"/>
      <c r="F435" s="19"/>
    </row>
    <row r="436" ht="15.75" customHeight="1">
      <c r="A436" s="19"/>
      <c r="B436" s="19"/>
      <c r="C436" s="19"/>
      <c r="D436" s="19"/>
      <c r="E436" s="19"/>
      <c r="F436" s="19"/>
    </row>
    <row r="437" ht="15.75" customHeight="1">
      <c r="A437" s="19"/>
      <c r="B437" s="19"/>
      <c r="C437" s="19"/>
      <c r="D437" s="19"/>
      <c r="E437" s="19"/>
      <c r="F437" s="19"/>
    </row>
    <row r="438" ht="15.75" customHeight="1">
      <c r="A438" s="19"/>
      <c r="B438" s="19"/>
      <c r="C438" s="19"/>
      <c r="D438" s="19"/>
      <c r="E438" s="19"/>
      <c r="F438" s="19"/>
    </row>
    <row r="439" ht="15.75" customHeight="1">
      <c r="A439" s="19"/>
      <c r="B439" s="19"/>
      <c r="C439" s="19"/>
      <c r="D439" s="19"/>
      <c r="E439" s="19"/>
      <c r="F439" s="19"/>
    </row>
    <row r="440" ht="15.75" customHeight="1">
      <c r="A440" s="19"/>
      <c r="B440" s="19"/>
      <c r="C440" s="19"/>
      <c r="D440" s="19"/>
      <c r="E440" s="19"/>
      <c r="F440" s="19"/>
    </row>
    <row r="441" ht="15.75" customHeight="1">
      <c r="A441" s="19"/>
      <c r="B441" s="19"/>
      <c r="C441" s="19"/>
      <c r="D441" s="19"/>
      <c r="E441" s="19"/>
      <c r="F441" s="19"/>
    </row>
    <row r="442" ht="15.75" customHeight="1">
      <c r="A442" s="19"/>
      <c r="B442" s="19"/>
      <c r="C442" s="19"/>
      <c r="D442" s="19"/>
      <c r="E442" s="19"/>
      <c r="F442" s="19"/>
    </row>
    <row r="443" ht="15.75" customHeight="1">
      <c r="A443" s="19"/>
      <c r="B443" s="19"/>
      <c r="C443" s="19"/>
      <c r="D443" s="19"/>
      <c r="E443" s="19"/>
      <c r="F443" s="19"/>
    </row>
    <row r="444" ht="15.75" customHeight="1">
      <c r="A444" s="19"/>
      <c r="B444" s="19"/>
      <c r="C444" s="19"/>
      <c r="D444" s="19"/>
      <c r="E444" s="19"/>
      <c r="F444" s="19"/>
    </row>
    <row r="445" ht="15.75" customHeight="1">
      <c r="A445" s="19"/>
      <c r="B445" s="19"/>
      <c r="C445" s="19"/>
      <c r="D445" s="19"/>
      <c r="E445" s="19"/>
      <c r="F445" s="19"/>
    </row>
    <row r="446" ht="15.75" customHeight="1">
      <c r="A446" s="19"/>
      <c r="B446" s="19"/>
      <c r="C446" s="19"/>
      <c r="D446" s="19"/>
      <c r="E446" s="19"/>
      <c r="F446" s="19"/>
    </row>
    <row r="447" ht="15.75" customHeight="1">
      <c r="A447" s="19"/>
      <c r="B447" s="19"/>
      <c r="C447" s="19"/>
      <c r="D447" s="19"/>
      <c r="E447" s="19"/>
      <c r="F447" s="19"/>
    </row>
    <row r="448" ht="15.75" customHeight="1">
      <c r="A448" s="19"/>
      <c r="B448" s="19"/>
      <c r="C448" s="19"/>
      <c r="D448" s="19"/>
      <c r="E448" s="19"/>
      <c r="F448" s="19"/>
    </row>
    <row r="449" ht="15.75" customHeight="1">
      <c r="A449" s="19"/>
      <c r="B449" s="19"/>
      <c r="C449" s="19"/>
      <c r="D449" s="19"/>
      <c r="E449" s="19"/>
      <c r="F449" s="19"/>
    </row>
    <row r="450" ht="15.75" customHeight="1">
      <c r="A450" s="19"/>
      <c r="B450" s="19"/>
      <c r="C450" s="19"/>
      <c r="D450" s="19"/>
      <c r="E450" s="19"/>
      <c r="F450" s="19"/>
    </row>
    <row r="451" ht="15.75" customHeight="1">
      <c r="A451" s="19"/>
      <c r="B451" s="19"/>
      <c r="C451" s="19"/>
      <c r="D451" s="19"/>
      <c r="E451" s="19"/>
      <c r="F451" s="19"/>
    </row>
    <row r="452" ht="15.75" customHeight="1">
      <c r="A452" s="19"/>
      <c r="B452" s="19"/>
      <c r="C452" s="19"/>
      <c r="D452" s="19"/>
      <c r="E452" s="19"/>
      <c r="F452" s="19"/>
    </row>
    <row r="453" ht="15.75" customHeight="1">
      <c r="A453" s="19"/>
      <c r="B453" s="19"/>
      <c r="C453" s="19"/>
      <c r="D453" s="19"/>
      <c r="E453" s="19"/>
      <c r="F453" s="19"/>
    </row>
    <row r="454" ht="15.75" customHeight="1">
      <c r="A454" s="19"/>
      <c r="B454" s="19"/>
      <c r="C454" s="19"/>
      <c r="D454" s="19"/>
      <c r="E454" s="19"/>
      <c r="F454" s="19"/>
    </row>
    <row r="455" ht="15.75" customHeight="1">
      <c r="A455" s="19"/>
      <c r="B455" s="19"/>
      <c r="C455" s="19"/>
      <c r="D455" s="19"/>
      <c r="E455" s="19"/>
      <c r="F455" s="19"/>
    </row>
    <row r="456" ht="15.75" customHeight="1">
      <c r="A456" s="19"/>
      <c r="B456" s="19"/>
      <c r="C456" s="19"/>
      <c r="D456" s="19"/>
      <c r="E456" s="19"/>
      <c r="F456" s="19"/>
    </row>
    <row r="457" ht="15.75" customHeight="1">
      <c r="A457" s="19"/>
      <c r="B457" s="19"/>
      <c r="C457" s="19"/>
      <c r="D457" s="19"/>
      <c r="E457" s="19"/>
      <c r="F457" s="19"/>
    </row>
    <row r="458" ht="15.75" customHeight="1">
      <c r="A458" s="19"/>
      <c r="B458" s="19"/>
      <c r="C458" s="19"/>
      <c r="D458" s="19"/>
      <c r="E458" s="19"/>
      <c r="F458" s="19"/>
    </row>
    <row r="459" ht="15.75" customHeight="1">
      <c r="A459" s="19"/>
      <c r="B459" s="19"/>
      <c r="C459" s="19"/>
      <c r="D459" s="19"/>
      <c r="E459" s="19"/>
      <c r="F459" s="19"/>
    </row>
    <row r="460" ht="15.75" customHeight="1">
      <c r="A460" s="19"/>
      <c r="B460" s="19"/>
      <c r="C460" s="19"/>
      <c r="D460" s="19"/>
      <c r="E460" s="19"/>
      <c r="F460" s="19"/>
    </row>
    <row r="461" ht="15.75" customHeight="1">
      <c r="A461" s="19"/>
      <c r="B461" s="19"/>
      <c r="C461" s="19"/>
      <c r="D461" s="19"/>
      <c r="E461" s="19"/>
      <c r="F461" s="19"/>
    </row>
    <row r="462" ht="15.75" customHeight="1">
      <c r="A462" s="19"/>
      <c r="B462" s="19"/>
      <c r="C462" s="19"/>
      <c r="D462" s="19"/>
      <c r="E462" s="19"/>
      <c r="F462" s="19"/>
    </row>
    <row r="463" ht="15.75" customHeight="1">
      <c r="A463" s="19"/>
      <c r="B463" s="19"/>
      <c r="C463" s="19"/>
      <c r="D463" s="19"/>
      <c r="E463" s="19"/>
      <c r="F463" s="19"/>
    </row>
    <row r="464" ht="15.75" customHeight="1">
      <c r="A464" s="19"/>
      <c r="B464" s="19"/>
      <c r="C464" s="19"/>
      <c r="D464" s="19"/>
      <c r="E464" s="19"/>
      <c r="F464" s="19"/>
    </row>
    <row r="465" ht="15.75" customHeight="1">
      <c r="A465" s="19"/>
      <c r="B465" s="19"/>
      <c r="C465" s="19"/>
      <c r="D465" s="19"/>
      <c r="E465" s="19"/>
      <c r="F465" s="19"/>
    </row>
    <row r="466" ht="15.75" customHeight="1">
      <c r="A466" s="19"/>
      <c r="B466" s="19"/>
      <c r="C466" s="19"/>
      <c r="D466" s="19"/>
      <c r="E466" s="19"/>
      <c r="F466" s="19"/>
    </row>
    <row r="467" ht="15.75" customHeight="1">
      <c r="A467" s="19"/>
      <c r="B467" s="19"/>
      <c r="C467" s="19"/>
      <c r="D467" s="19"/>
      <c r="E467" s="19"/>
      <c r="F467" s="19"/>
    </row>
    <row r="468" ht="15.75" customHeight="1">
      <c r="A468" s="19"/>
      <c r="B468" s="19"/>
      <c r="C468" s="19"/>
      <c r="D468" s="19"/>
      <c r="E468" s="19"/>
      <c r="F468" s="19"/>
    </row>
    <row r="469" ht="15.75" customHeight="1">
      <c r="A469" s="19"/>
      <c r="B469" s="19"/>
      <c r="C469" s="19"/>
      <c r="D469" s="19"/>
      <c r="E469" s="19"/>
      <c r="F469" s="19"/>
    </row>
    <row r="470" ht="15.75" customHeight="1">
      <c r="A470" s="19"/>
      <c r="B470" s="19"/>
      <c r="C470" s="19"/>
      <c r="D470" s="19"/>
      <c r="E470" s="19"/>
      <c r="F470" s="19"/>
    </row>
    <row r="471" ht="15.75" customHeight="1">
      <c r="A471" s="19"/>
      <c r="B471" s="19"/>
      <c r="C471" s="19"/>
      <c r="D471" s="19"/>
      <c r="E471" s="19"/>
      <c r="F471" s="19"/>
    </row>
    <row r="472" ht="15.75" customHeight="1">
      <c r="A472" s="19"/>
      <c r="B472" s="19"/>
      <c r="C472" s="19"/>
      <c r="D472" s="19"/>
      <c r="E472" s="19"/>
      <c r="F472" s="19"/>
    </row>
    <row r="473" ht="15.75" customHeight="1">
      <c r="A473" s="19"/>
      <c r="B473" s="19"/>
      <c r="C473" s="19"/>
      <c r="D473" s="19"/>
      <c r="E473" s="19"/>
      <c r="F473" s="19"/>
    </row>
    <row r="474" ht="15.75" customHeight="1">
      <c r="A474" s="19"/>
      <c r="B474" s="19"/>
      <c r="C474" s="19"/>
      <c r="D474" s="19"/>
      <c r="E474" s="19"/>
      <c r="F474" s="19"/>
    </row>
    <row r="475" ht="15.75" customHeight="1">
      <c r="A475" s="19"/>
      <c r="B475" s="19"/>
      <c r="C475" s="19"/>
      <c r="D475" s="19"/>
      <c r="E475" s="19"/>
      <c r="F475" s="19"/>
    </row>
    <row r="476" ht="15.75" customHeight="1">
      <c r="A476" s="19"/>
      <c r="B476" s="19"/>
      <c r="C476" s="19"/>
      <c r="D476" s="19"/>
      <c r="E476" s="19"/>
      <c r="F476" s="19"/>
    </row>
    <row r="477" ht="15.75" customHeight="1">
      <c r="A477" s="19"/>
      <c r="B477" s="19"/>
      <c r="C477" s="19"/>
      <c r="D477" s="19"/>
      <c r="E477" s="19"/>
      <c r="F477" s="19"/>
    </row>
    <row r="478" ht="15.75" customHeight="1">
      <c r="A478" s="19"/>
      <c r="B478" s="19"/>
      <c r="C478" s="19"/>
      <c r="D478" s="19"/>
      <c r="E478" s="19"/>
      <c r="F478" s="19"/>
    </row>
    <row r="479" ht="15.75" customHeight="1">
      <c r="A479" s="19"/>
      <c r="B479" s="19"/>
      <c r="C479" s="19"/>
      <c r="D479" s="19"/>
      <c r="E479" s="19"/>
      <c r="F479" s="19"/>
    </row>
    <row r="480" ht="15.75" customHeight="1">
      <c r="A480" s="19"/>
      <c r="B480" s="19"/>
      <c r="C480" s="19"/>
      <c r="D480" s="19"/>
      <c r="E480" s="19"/>
      <c r="F480" s="19"/>
    </row>
    <row r="481" ht="15.75" customHeight="1">
      <c r="A481" s="19"/>
      <c r="B481" s="19"/>
      <c r="C481" s="19"/>
      <c r="D481" s="19"/>
      <c r="E481" s="19"/>
      <c r="F481" s="19"/>
    </row>
    <row r="482" ht="15.75" customHeight="1">
      <c r="A482" s="19"/>
      <c r="B482" s="19"/>
      <c r="C482" s="19"/>
      <c r="D482" s="19"/>
      <c r="E482" s="19"/>
      <c r="F482" s="19"/>
    </row>
    <row r="483" ht="15.75" customHeight="1">
      <c r="A483" s="19"/>
      <c r="B483" s="19"/>
      <c r="C483" s="19"/>
      <c r="D483" s="19"/>
      <c r="E483" s="19"/>
      <c r="F483" s="19"/>
    </row>
    <row r="484" ht="15.75" customHeight="1">
      <c r="A484" s="19"/>
      <c r="B484" s="19"/>
      <c r="C484" s="19"/>
      <c r="D484" s="19"/>
      <c r="E484" s="19"/>
      <c r="F484" s="19"/>
    </row>
    <row r="485" ht="15.75" customHeight="1">
      <c r="A485" s="19"/>
      <c r="B485" s="19"/>
      <c r="C485" s="19"/>
      <c r="D485" s="19"/>
      <c r="E485" s="19"/>
      <c r="F485" s="19"/>
    </row>
    <row r="486" ht="15.75" customHeight="1">
      <c r="A486" s="19"/>
      <c r="B486" s="19"/>
      <c r="C486" s="19"/>
      <c r="D486" s="19"/>
      <c r="E486" s="19"/>
      <c r="F486" s="19"/>
    </row>
    <row r="487" ht="15.75" customHeight="1">
      <c r="A487" s="19"/>
      <c r="B487" s="19"/>
      <c r="C487" s="19"/>
      <c r="D487" s="19"/>
      <c r="E487" s="19"/>
      <c r="F487" s="19"/>
    </row>
    <row r="488" ht="15.75" customHeight="1">
      <c r="A488" s="19"/>
      <c r="B488" s="19"/>
      <c r="C488" s="19"/>
      <c r="D488" s="19"/>
      <c r="E488" s="19"/>
      <c r="F488" s="19"/>
    </row>
    <row r="489" ht="15.75" customHeight="1">
      <c r="A489" s="19"/>
      <c r="B489" s="19"/>
      <c r="C489" s="19"/>
      <c r="D489" s="19"/>
      <c r="E489" s="19"/>
      <c r="F489" s="19"/>
    </row>
    <row r="490" ht="15.75" customHeight="1">
      <c r="A490" s="19"/>
      <c r="B490" s="19"/>
      <c r="C490" s="19"/>
      <c r="D490" s="19"/>
      <c r="E490" s="19"/>
      <c r="F490" s="19"/>
    </row>
    <row r="491" ht="15.75" customHeight="1">
      <c r="A491" s="19"/>
      <c r="B491" s="19"/>
      <c r="C491" s="19"/>
      <c r="D491" s="19"/>
      <c r="E491" s="19"/>
      <c r="F491" s="19"/>
    </row>
    <row r="492" ht="15.75" customHeight="1">
      <c r="A492" s="19"/>
      <c r="B492" s="19"/>
      <c r="C492" s="19"/>
      <c r="D492" s="19"/>
      <c r="E492" s="19"/>
      <c r="F492" s="19"/>
    </row>
    <row r="493" ht="15.75" customHeight="1">
      <c r="A493" s="19"/>
      <c r="B493" s="19"/>
      <c r="C493" s="19"/>
      <c r="D493" s="19"/>
      <c r="E493" s="19"/>
      <c r="F493" s="19"/>
    </row>
    <row r="494" ht="15.75" customHeight="1">
      <c r="A494" s="19"/>
      <c r="B494" s="19"/>
      <c r="C494" s="19"/>
      <c r="D494" s="19"/>
      <c r="E494" s="19"/>
      <c r="F494" s="19"/>
    </row>
    <row r="495" ht="15.75" customHeight="1">
      <c r="A495" s="19"/>
      <c r="B495" s="19"/>
      <c r="C495" s="19"/>
      <c r="D495" s="19"/>
      <c r="E495" s="19"/>
      <c r="F495" s="19"/>
    </row>
    <row r="496" ht="15.75" customHeight="1">
      <c r="A496" s="19"/>
      <c r="B496" s="19"/>
      <c r="C496" s="19"/>
      <c r="D496" s="19"/>
      <c r="E496" s="19"/>
      <c r="F496" s="19"/>
    </row>
    <row r="497" ht="15.75" customHeight="1">
      <c r="A497" s="19"/>
      <c r="B497" s="19"/>
      <c r="C497" s="19"/>
      <c r="D497" s="19"/>
      <c r="E497" s="19"/>
      <c r="F497" s="19"/>
    </row>
    <row r="498" ht="15.75" customHeight="1">
      <c r="A498" s="19"/>
      <c r="B498" s="19"/>
      <c r="C498" s="19"/>
      <c r="D498" s="19"/>
      <c r="E498" s="19"/>
      <c r="F498" s="19"/>
    </row>
    <row r="499" ht="15.75" customHeight="1">
      <c r="A499" s="19"/>
      <c r="B499" s="19"/>
      <c r="C499" s="19"/>
      <c r="D499" s="19"/>
      <c r="E499" s="19"/>
      <c r="F499" s="19"/>
    </row>
    <row r="500" ht="15.75" customHeight="1">
      <c r="A500" s="19"/>
      <c r="B500" s="19"/>
      <c r="C500" s="19"/>
      <c r="D500" s="19"/>
      <c r="E500" s="19"/>
      <c r="F500" s="19"/>
    </row>
    <row r="501" ht="15.75" customHeight="1">
      <c r="A501" s="19"/>
      <c r="B501" s="19"/>
      <c r="C501" s="19"/>
      <c r="D501" s="19"/>
      <c r="E501" s="19"/>
      <c r="F501" s="19"/>
    </row>
    <row r="502" ht="15.75" customHeight="1">
      <c r="A502" s="19"/>
      <c r="B502" s="19"/>
      <c r="C502" s="19"/>
      <c r="D502" s="19"/>
      <c r="E502" s="19"/>
      <c r="F502" s="19"/>
    </row>
    <row r="503" ht="15.75" customHeight="1">
      <c r="A503" s="19"/>
      <c r="B503" s="19"/>
      <c r="C503" s="19"/>
      <c r="D503" s="19"/>
      <c r="E503" s="19"/>
      <c r="F503" s="19"/>
    </row>
    <row r="504" ht="15.75" customHeight="1">
      <c r="A504" s="19"/>
      <c r="B504" s="19"/>
      <c r="C504" s="19"/>
      <c r="D504" s="19"/>
      <c r="E504" s="19"/>
      <c r="F504" s="19"/>
    </row>
    <row r="505" ht="15.75" customHeight="1">
      <c r="A505" s="19"/>
      <c r="B505" s="19"/>
      <c r="C505" s="19"/>
      <c r="D505" s="19"/>
      <c r="E505" s="19"/>
      <c r="F505" s="19"/>
    </row>
    <row r="506" ht="15.75" customHeight="1">
      <c r="A506" s="19"/>
      <c r="B506" s="19"/>
      <c r="C506" s="19"/>
      <c r="D506" s="19"/>
      <c r="E506" s="19"/>
      <c r="F506" s="19"/>
    </row>
    <row r="507" ht="15.75" customHeight="1">
      <c r="A507" s="19"/>
      <c r="B507" s="19"/>
      <c r="C507" s="19"/>
      <c r="D507" s="19"/>
      <c r="E507" s="19"/>
      <c r="F507" s="19"/>
    </row>
    <row r="508" ht="15.75" customHeight="1">
      <c r="A508" s="19"/>
      <c r="B508" s="19"/>
      <c r="C508" s="19"/>
      <c r="D508" s="19"/>
      <c r="E508" s="19"/>
      <c r="F508" s="19"/>
    </row>
    <row r="509" ht="15.75" customHeight="1">
      <c r="A509" s="19"/>
      <c r="B509" s="19"/>
      <c r="C509" s="19"/>
      <c r="D509" s="19"/>
      <c r="E509" s="19"/>
      <c r="F509" s="19"/>
    </row>
    <row r="510" ht="15.75" customHeight="1">
      <c r="A510" s="19"/>
      <c r="B510" s="19"/>
      <c r="C510" s="19"/>
      <c r="D510" s="19"/>
      <c r="E510" s="19"/>
      <c r="F510" s="19"/>
    </row>
    <row r="511" ht="15.75" customHeight="1">
      <c r="A511" s="19"/>
      <c r="B511" s="19"/>
      <c r="C511" s="19"/>
      <c r="D511" s="19"/>
      <c r="E511" s="19"/>
      <c r="F511" s="19"/>
    </row>
    <row r="512" ht="15.75" customHeight="1">
      <c r="A512" s="19"/>
      <c r="B512" s="19"/>
      <c r="C512" s="19"/>
      <c r="D512" s="19"/>
      <c r="E512" s="19"/>
      <c r="F512" s="19"/>
    </row>
    <row r="513" ht="15.75" customHeight="1">
      <c r="A513" s="19"/>
      <c r="B513" s="19"/>
      <c r="C513" s="19"/>
      <c r="D513" s="19"/>
      <c r="E513" s="19"/>
      <c r="F513" s="19"/>
    </row>
    <row r="514" ht="15.75" customHeight="1">
      <c r="A514" s="19"/>
      <c r="B514" s="19"/>
      <c r="C514" s="19"/>
      <c r="D514" s="19"/>
      <c r="E514" s="19"/>
      <c r="F514" s="19"/>
    </row>
    <row r="515" ht="15.75" customHeight="1">
      <c r="A515" s="19"/>
      <c r="B515" s="19"/>
      <c r="C515" s="19"/>
      <c r="D515" s="19"/>
      <c r="E515" s="19"/>
      <c r="F515" s="19"/>
    </row>
    <row r="516" ht="15.75" customHeight="1">
      <c r="A516" s="19"/>
      <c r="B516" s="19"/>
      <c r="C516" s="19"/>
      <c r="D516" s="19"/>
      <c r="E516" s="19"/>
      <c r="F516" s="19"/>
    </row>
    <row r="517" ht="15.75" customHeight="1">
      <c r="A517" s="19"/>
      <c r="B517" s="19"/>
      <c r="C517" s="19"/>
      <c r="D517" s="19"/>
      <c r="E517" s="19"/>
      <c r="F517" s="19"/>
    </row>
    <row r="518" ht="15.75" customHeight="1">
      <c r="A518" s="19"/>
      <c r="B518" s="19"/>
      <c r="C518" s="19"/>
      <c r="D518" s="19"/>
      <c r="E518" s="19"/>
      <c r="F518" s="19"/>
    </row>
    <row r="519" ht="15.75" customHeight="1">
      <c r="A519" s="19"/>
      <c r="B519" s="19"/>
      <c r="C519" s="19"/>
      <c r="D519" s="19"/>
      <c r="E519" s="19"/>
      <c r="F519" s="19"/>
    </row>
    <row r="520" ht="15.75" customHeight="1">
      <c r="A520" s="19"/>
      <c r="B520" s="19"/>
      <c r="C520" s="19"/>
      <c r="D520" s="19"/>
      <c r="E520" s="19"/>
      <c r="F520" s="19"/>
    </row>
    <row r="521" ht="15.75" customHeight="1">
      <c r="A521" s="19"/>
      <c r="B521" s="19"/>
      <c r="C521" s="19"/>
      <c r="D521" s="19"/>
      <c r="E521" s="19"/>
      <c r="F521" s="19"/>
    </row>
    <row r="522" ht="15.75" customHeight="1">
      <c r="A522" s="19"/>
      <c r="B522" s="19"/>
      <c r="C522" s="19"/>
      <c r="D522" s="19"/>
      <c r="E522" s="19"/>
      <c r="F522" s="19"/>
    </row>
    <row r="523" ht="15.75" customHeight="1">
      <c r="A523" s="19"/>
      <c r="B523" s="19"/>
      <c r="C523" s="19"/>
      <c r="D523" s="19"/>
      <c r="E523" s="19"/>
      <c r="F523" s="19"/>
    </row>
    <row r="524" ht="15.75" customHeight="1">
      <c r="A524" s="19"/>
      <c r="B524" s="19"/>
      <c r="C524" s="19"/>
      <c r="D524" s="19"/>
      <c r="E524" s="19"/>
      <c r="F524" s="19"/>
    </row>
    <row r="525" ht="15.75" customHeight="1">
      <c r="A525" s="19"/>
      <c r="B525" s="19"/>
      <c r="C525" s="19"/>
      <c r="D525" s="19"/>
      <c r="E525" s="19"/>
      <c r="F525" s="19"/>
    </row>
    <row r="526" ht="15.75" customHeight="1">
      <c r="A526" s="19"/>
      <c r="B526" s="19"/>
      <c r="C526" s="19"/>
      <c r="D526" s="19"/>
      <c r="E526" s="19"/>
      <c r="F526" s="19"/>
    </row>
    <row r="527" ht="15.75" customHeight="1">
      <c r="A527" s="19"/>
      <c r="B527" s="19"/>
      <c r="C527" s="19"/>
      <c r="D527" s="19"/>
      <c r="E527" s="19"/>
      <c r="F527" s="19"/>
    </row>
    <row r="528" ht="15.75" customHeight="1">
      <c r="A528" s="19"/>
      <c r="B528" s="19"/>
      <c r="C528" s="19"/>
      <c r="D528" s="19"/>
      <c r="E528" s="19"/>
      <c r="F528" s="19"/>
    </row>
    <row r="529" ht="15.75" customHeight="1">
      <c r="A529" s="19"/>
      <c r="B529" s="19"/>
      <c r="C529" s="19"/>
      <c r="D529" s="19"/>
      <c r="E529" s="19"/>
      <c r="F529" s="19"/>
    </row>
    <row r="530" ht="15.75" customHeight="1">
      <c r="A530" s="19"/>
      <c r="B530" s="19"/>
      <c r="C530" s="19"/>
      <c r="D530" s="19"/>
      <c r="E530" s="19"/>
      <c r="F530" s="19"/>
    </row>
    <row r="531" ht="15.75" customHeight="1">
      <c r="A531" s="19"/>
      <c r="B531" s="19"/>
      <c r="C531" s="19"/>
      <c r="D531" s="19"/>
      <c r="E531" s="19"/>
      <c r="F531" s="19"/>
    </row>
    <row r="532" ht="15.75" customHeight="1">
      <c r="A532" s="19"/>
      <c r="B532" s="19"/>
      <c r="C532" s="19"/>
      <c r="D532" s="19"/>
      <c r="E532" s="19"/>
      <c r="F532" s="19"/>
    </row>
    <row r="533" ht="15.75" customHeight="1">
      <c r="A533" s="19"/>
      <c r="B533" s="19"/>
      <c r="C533" s="19"/>
      <c r="D533" s="19"/>
      <c r="E533" s="19"/>
      <c r="F533" s="19"/>
    </row>
    <row r="534" ht="15.75" customHeight="1">
      <c r="A534" s="19"/>
      <c r="B534" s="19"/>
      <c r="C534" s="19"/>
      <c r="D534" s="19"/>
      <c r="E534" s="19"/>
      <c r="F534" s="19"/>
    </row>
    <row r="535" ht="15.75" customHeight="1">
      <c r="A535" s="19"/>
      <c r="B535" s="19"/>
      <c r="C535" s="19"/>
      <c r="D535" s="19"/>
      <c r="E535" s="19"/>
      <c r="F535" s="19"/>
    </row>
    <row r="536" ht="15.75" customHeight="1">
      <c r="A536" s="19"/>
      <c r="B536" s="19"/>
      <c r="C536" s="19"/>
      <c r="D536" s="19"/>
      <c r="E536" s="19"/>
      <c r="F536" s="19"/>
    </row>
    <row r="537" ht="15.75" customHeight="1">
      <c r="A537" s="19"/>
      <c r="B537" s="19"/>
      <c r="C537" s="19"/>
      <c r="D537" s="19"/>
      <c r="E537" s="19"/>
      <c r="F537" s="19"/>
    </row>
    <row r="538" ht="15.75" customHeight="1">
      <c r="A538" s="19"/>
      <c r="B538" s="19"/>
      <c r="C538" s="19"/>
      <c r="D538" s="19"/>
      <c r="E538" s="19"/>
      <c r="F538" s="19"/>
    </row>
    <row r="539" ht="15.75" customHeight="1">
      <c r="A539" s="19"/>
      <c r="B539" s="19"/>
      <c r="C539" s="19"/>
      <c r="D539" s="19"/>
      <c r="E539" s="19"/>
      <c r="F539" s="19"/>
    </row>
    <row r="540" ht="15.75" customHeight="1">
      <c r="A540" s="19"/>
      <c r="B540" s="19"/>
      <c r="C540" s="19"/>
      <c r="D540" s="19"/>
      <c r="E540" s="19"/>
      <c r="F540" s="19"/>
    </row>
    <row r="541" ht="15.75" customHeight="1">
      <c r="A541" s="19"/>
      <c r="B541" s="19"/>
      <c r="C541" s="19"/>
      <c r="D541" s="19"/>
      <c r="E541" s="19"/>
      <c r="F541" s="19"/>
    </row>
    <row r="542" ht="15.75" customHeight="1">
      <c r="A542" s="19"/>
      <c r="B542" s="19"/>
      <c r="C542" s="19"/>
      <c r="D542" s="19"/>
      <c r="E542" s="19"/>
      <c r="F542" s="19"/>
    </row>
    <row r="543" ht="15.75" customHeight="1">
      <c r="A543" s="19"/>
      <c r="B543" s="19"/>
      <c r="C543" s="19"/>
      <c r="D543" s="19"/>
      <c r="E543" s="19"/>
      <c r="F543" s="19"/>
    </row>
    <row r="544" ht="15.75" customHeight="1">
      <c r="A544" s="19"/>
      <c r="B544" s="19"/>
      <c r="C544" s="19"/>
      <c r="D544" s="19"/>
      <c r="E544" s="19"/>
      <c r="F544" s="19"/>
    </row>
    <row r="545" ht="15.75" customHeight="1">
      <c r="A545" s="19"/>
      <c r="B545" s="19"/>
      <c r="C545" s="19"/>
      <c r="D545" s="19"/>
      <c r="E545" s="19"/>
      <c r="F545" s="19"/>
    </row>
    <row r="546" ht="15.75" customHeight="1">
      <c r="A546" s="19"/>
      <c r="B546" s="19"/>
      <c r="C546" s="19"/>
      <c r="D546" s="19"/>
      <c r="E546" s="19"/>
      <c r="F546" s="19"/>
    </row>
    <row r="547" ht="15.75" customHeight="1">
      <c r="A547" s="19"/>
      <c r="B547" s="19"/>
      <c r="C547" s="19"/>
      <c r="D547" s="19"/>
      <c r="E547" s="19"/>
      <c r="F547" s="19"/>
    </row>
    <row r="548" ht="15.75" customHeight="1">
      <c r="A548" s="19"/>
      <c r="B548" s="19"/>
      <c r="C548" s="19"/>
      <c r="D548" s="19"/>
      <c r="E548" s="19"/>
      <c r="F548" s="19"/>
    </row>
    <row r="549" ht="15.75" customHeight="1">
      <c r="A549" s="19"/>
      <c r="B549" s="19"/>
      <c r="C549" s="19"/>
      <c r="D549" s="19"/>
      <c r="E549" s="19"/>
      <c r="F549" s="19"/>
    </row>
    <row r="550" ht="15.75" customHeight="1">
      <c r="A550" s="19"/>
      <c r="B550" s="19"/>
      <c r="C550" s="19"/>
      <c r="D550" s="19"/>
      <c r="E550" s="19"/>
      <c r="F550" s="19"/>
    </row>
    <row r="551" ht="15.75" customHeight="1">
      <c r="A551" s="19"/>
      <c r="B551" s="19"/>
      <c r="C551" s="19"/>
      <c r="D551" s="19"/>
      <c r="E551" s="19"/>
      <c r="F551" s="19"/>
    </row>
    <row r="552" ht="15.75" customHeight="1">
      <c r="A552" s="19"/>
      <c r="B552" s="19"/>
      <c r="C552" s="19"/>
      <c r="D552" s="19"/>
      <c r="E552" s="19"/>
      <c r="F552" s="19"/>
    </row>
    <row r="553" ht="15.75" customHeight="1">
      <c r="A553" s="19"/>
      <c r="B553" s="19"/>
      <c r="C553" s="19"/>
      <c r="D553" s="19"/>
      <c r="E553" s="19"/>
      <c r="F553" s="19"/>
    </row>
    <row r="554" ht="15.75" customHeight="1">
      <c r="A554" s="19"/>
      <c r="B554" s="19"/>
      <c r="C554" s="19"/>
      <c r="D554" s="19"/>
      <c r="E554" s="19"/>
      <c r="F554" s="19"/>
    </row>
    <row r="555" ht="15.75" customHeight="1">
      <c r="A555" s="19"/>
      <c r="B555" s="19"/>
      <c r="C555" s="19"/>
      <c r="D555" s="19"/>
      <c r="E555" s="19"/>
      <c r="F555" s="19"/>
    </row>
    <row r="556" ht="15.75" customHeight="1">
      <c r="A556" s="19"/>
      <c r="B556" s="19"/>
      <c r="C556" s="19"/>
      <c r="D556" s="19"/>
      <c r="E556" s="19"/>
      <c r="F556" s="19"/>
    </row>
    <row r="557" ht="15.75" customHeight="1">
      <c r="A557" s="19"/>
      <c r="B557" s="19"/>
      <c r="C557" s="19"/>
      <c r="D557" s="19"/>
      <c r="E557" s="19"/>
      <c r="F557" s="19"/>
    </row>
    <row r="558" ht="15.75" customHeight="1">
      <c r="A558" s="19"/>
      <c r="B558" s="19"/>
      <c r="C558" s="19"/>
      <c r="D558" s="19"/>
      <c r="E558" s="19"/>
      <c r="F558" s="19"/>
    </row>
    <row r="559" ht="15.75" customHeight="1">
      <c r="A559" s="19"/>
      <c r="B559" s="19"/>
      <c r="C559" s="19"/>
      <c r="D559" s="19"/>
      <c r="E559" s="19"/>
      <c r="F559" s="19"/>
    </row>
    <row r="560" ht="15.75" customHeight="1">
      <c r="A560" s="19"/>
      <c r="B560" s="19"/>
      <c r="C560" s="19"/>
      <c r="D560" s="19"/>
      <c r="E560" s="19"/>
      <c r="F560" s="19"/>
    </row>
    <row r="561" ht="15.75" customHeight="1">
      <c r="A561" s="19"/>
      <c r="B561" s="19"/>
      <c r="C561" s="19"/>
      <c r="D561" s="19"/>
      <c r="E561" s="19"/>
      <c r="F561" s="19"/>
    </row>
    <row r="562" ht="15.75" customHeight="1">
      <c r="A562" s="19"/>
      <c r="B562" s="19"/>
      <c r="C562" s="19"/>
      <c r="D562" s="19"/>
      <c r="E562" s="19"/>
      <c r="F562" s="19"/>
    </row>
    <row r="563" ht="15.75" customHeight="1">
      <c r="A563" s="19"/>
      <c r="B563" s="19"/>
      <c r="C563" s="19"/>
      <c r="D563" s="19"/>
      <c r="E563" s="19"/>
      <c r="F563" s="19"/>
    </row>
    <row r="564" ht="15.75" customHeight="1">
      <c r="A564" s="19"/>
      <c r="B564" s="19"/>
      <c r="C564" s="19"/>
      <c r="D564" s="19"/>
      <c r="E564" s="19"/>
      <c r="F564" s="19"/>
    </row>
    <row r="565" ht="15.75" customHeight="1">
      <c r="A565" s="19"/>
      <c r="B565" s="19"/>
      <c r="C565" s="19"/>
      <c r="D565" s="19"/>
      <c r="E565" s="19"/>
      <c r="F565" s="19"/>
    </row>
    <row r="566" ht="15.75" customHeight="1">
      <c r="A566" s="19"/>
      <c r="B566" s="19"/>
      <c r="C566" s="19"/>
      <c r="D566" s="19"/>
      <c r="E566" s="19"/>
      <c r="F566" s="19"/>
    </row>
    <row r="567" ht="15.75" customHeight="1">
      <c r="A567" s="19"/>
      <c r="B567" s="19"/>
      <c r="C567" s="19"/>
      <c r="D567" s="19"/>
      <c r="E567" s="19"/>
      <c r="F567" s="19"/>
    </row>
    <row r="568" ht="15.75" customHeight="1">
      <c r="A568" s="19"/>
      <c r="B568" s="19"/>
      <c r="C568" s="19"/>
      <c r="D568" s="19"/>
      <c r="E568" s="19"/>
      <c r="F568" s="19"/>
    </row>
    <row r="569" ht="15.75" customHeight="1">
      <c r="A569" s="19"/>
      <c r="B569" s="19"/>
      <c r="C569" s="19"/>
      <c r="D569" s="19"/>
      <c r="E569" s="19"/>
      <c r="F569" s="19"/>
    </row>
    <row r="570" ht="15.75" customHeight="1">
      <c r="A570" s="19"/>
      <c r="B570" s="19"/>
      <c r="C570" s="19"/>
      <c r="D570" s="19"/>
      <c r="E570" s="19"/>
      <c r="F570" s="19"/>
    </row>
    <row r="571" ht="15.75" customHeight="1">
      <c r="A571" s="19"/>
      <c r="B571" s="19"/>
      <c r="C571" s="19"/>
      <c r="D571" s="19"/>
      <c r="E571" s="19"/>
      <c r="F571" s="19"/>
    </row>
    <row r="572" ht="15.75" customHeight="1">
      <c r="A572" s="19"/>
      <c r="B572" s="19"/>
      <c r="C572" s="19"/>
      <c r="D572" s="19"/>
      <c r="E572" s="19"/>
      <c r="F572" s="19"/>
    </row>
    <row r="573" ht="15.75" customHeight="1">
      <c r="A573" s="19"/>
      <c r="B573" s="19"/>
      <c r="C573" s="19"/>
      <c r="D573" s="19"/>
      <c r="E573" s="19"/>
      <c r="F573" s="19"/>
    </row>
    <row r="574" ht="15.75" customHeight="1">
      <c r="A574" s="19"/>
      <c r="B574" s="19"/>
      <c r="C574" s="19"/>
      <c r="D574" s="19"/>
      <c r="E574" s="19"/>
      <c r="F574" s="19"/>
    </row>
    <row r="575" ht="15.75" customHeight="1">
      <c r="A575" s="19"/>
      <c r="B575" s="19"/>
      <c r="C575" s="19"/>
      <c r="D575" s="19"/>
      <c r="E575" s="19"/>
      <c r="F575" s="19"/>
    </row>
    <row r="576" ht="15.75" customHeight="1">
      <c r="A576" s="19"/>
      <c r="B576" s="19"/>
      <c r="C576" s="19"/>
      <c r="D576" s="19"/>
      <c r="E576" s="19"/>
      <c r="F576" s="19"/>
    </row>
    <row r="577" ht="15.75" customHeight="1">
      <c r="A577" s="19"/>
      <c r="B577" s="19"/>
      <c r="C577" s="19"/>
      <c r="D577" s="19"/>
      <c r="E577" s="19"/>
      <c r="F577" s="19"/>
    </row>
    <row r="578" ht="15.75" customHeight="1">
      <c r="A578" s="19"/>
      <c r="B578" s="19"/>
      <c r="C578" s="19"/>
      <c r="D578" s="19"/>
      <c r="E578" s="19"/>
      <c r="F578" s="19"/>
    </row>
    <row r="579" ht="15.75" customHeight="1">
      <c r="A579" s="19"/>
      <c r="B579" s="19"/>
      <c r="C579" s="19"/>
      <c r="D579" s="19"/>
      <c r="E579" s="19"/>
      <c r="F579" s="19"/>
    </row>
    <row r="580" ht="15.75" customHeight="1">
      <c r="A580" s="19"/>
      <c r="B580" s="19"/>
      <c r="C580" s="19"/>
      <c r="D580" s="19"/>
      <c r="E580" s="19"/>
      <c r="F580" s="19"/>
    </row>
    <row r="581" ht="15.75" customHeight="1">
      <c r="A581" s="19"/>
      <c r="B581" s="19"/>
      <c r="C581" s="19"/>
      <c r="D581" s="19"/>
      <c r="E581" s="19"/>
      <c r="F581" s="19"/>
    </row>
    <row r="582" ht="15.75" customHeight="1">
      <c r="A582" s="19"/>
      <c r="B582" s="19"/>
      <c r="C582" s="19"/>
      <c r="D582" s="19"/>
      <c r="E582" s="19"/>
      <c r="F582" s="19"/>
    </row>
    <row r="583" ht="15.75" customHeight="1">
      <c r="A583" s="19"/>
      <c r="B583" s="19"/>
      <c r="C583" s="19"/>
      <c r="D583" s="19"/>
      <c r="E583" s="19"/>
      <c r="F583" s="19"/>
    </row>
    <row r="584" ht="15.75" customHeight="1">
      <c r="A584" s="19"/>
      <c r="B584" s="19"/>
      <c r="C584" s="19"/>
      <c r="D584" s="19"/>
      <c r="E584" s="19"/>
      <c r="F584" s="19"/>
    </row>
    <row r="585" ht="15.75" customHeight="1">
      <c r="A585" s="19"/>
      <c r="B585" s="19"/>
      <c r="C585" s="19"/>
      <c r="D585" s="19"/>
      <c r="E585" s="19"/>
      <c r="F585" s="19"/>
    </row>
    <row r="586" ht="15.75" customHeight="1">
      <c r="A586" s="19"/>
      <c r="B586" s="19"/>
      <c r="C586" s="19"/>
      <c r="D586" s="19"/>
      <c r="E586" s="19"/>
      <c r="F586" s="19"/>
    </row>
    <row r="587" ht="15.75" customHeight="1">
      <c r="A587" s="19"/>
      <c r="B587" s="19"/>
      <c r="C587" s="19"/>
      <c r="D587" s="19"/>
      <c r="E587" s="19"/>
      <c r="F587" s="19"/>
    </row>
    <row r="588" ht="15.75" customHeight="1">
      <c r="A588" s="19"/>
      <c r="B588" s="19"/>
      <c r="C588" s="19"/>
      <c r="D588" s="19"/>
      <c r="E588" s="19"/>
      <c r="F588" s="19"/>
    </row>
    <row r="589" ht="15.75" customHeight="1">
      <c r="A589" s="19"/>
      <c r="B589" s="19"/>
      <c r="C589" s="19"/>
      <c r="D589" s="19"/>
      <c r="E589" s="19"/>
      <c r="F589" s="19"/>
    </row>
    <row r="590" ht="15.75" customHeight="1">
      <c r="A590" s="19"/>
      <c r="B590" s="19"/>
      <c r="C590" s="19"/>
      <c r="D590" s="19"/>
      <c r="E590" s="19"/>
      <c r="F590" s="19"/>
    </row>
    <row r="591" ht="15.75" customHeight="1">
      <c r="A591" s="19"/>
      <c r="B591" s="19"/>
      <c r="C591" s="19"/>
      <c r="D591" s="19"/>
      <c r="E591" s="19"/>
      <c r="F591" s="19"/>
    </row>
    <row r="592" ht="15.75" customHeight="1">
      <c r="A592" s="19"/>
      <c r="B592" s="19"/>
      <c r="C592" s="19"/>
      <c r="D592" s="19"/>
      <c r="E592" s="19"/>
      <c r="F592" s="19"/>
    </row>
    <row r="593" ht="15.75" customHeight="1">
      <c r="A593" s="19"/>
      <c r="B593" s="19"/>
      <c r="C593" s="19"/>
      <c r="D593" s="19"/>
      <c r="E593" s="19"/>
      <c r="F593" s="19"/>
    </row>
    <row r="594" ht="15.75" customHeight="1">
      <c r="A594" s="19"/>
      <c r="B594" s="19"/>
      <c r="C594" s="19"/>
      <c r="D594" s="19"/>
      <c r="E594" s="19"/>
      <c r="F594" s="19"/>
    </row>
    <row r="595" ht="15.75" customHeight="1">
      <c r="A595" s="19"/>
      <c r="B595" s="19"/>
      <c r="C595" s="19"/>
      <c r="D595" s="19"/>
      <c r="E595" s="19"/>
      <c r="F595" s="19"/>
    </row>
    <row r="596" ht="15.75" customHeight="1">
      <c r="A596" s="19"/>
      <c r="B596" s="19"/>
      <c r="C596" s="19"/>
      <c r="D596" s="19"/>
      <c r="E596" s="19"/>
      <c r="F596" s="19"/>
    </row>
    <row r="597" ht="15.75" customHeight="1">
      <c r="A597" s="19"/>
      <c r="B597" s="19"/>
      <c r="C597" s="19"/>
      <c r="D597" s="19"/>
      <c r="E597" s="19"/>
      <c r="F597" s="19"/>
    </row>
    <row r="598" ht="15.75" customHeight="1">
      <c r="A598" s="19"/>
      <c r="B598" s="19"/>
      <c r="C598" s="19"/>
      <c r="D598" s="19"/>
      <c r="E598" s="19"/>
      <c r="F598" s="19"/>
    </row>
    <row r="599" ht="15.75" customHeight="1">
      <c r="A599" s="19"/>
      <c r="B599" s="19"/>
      <c r="C599" s="19"/>
      <c r="D599" s="19"/>
      <c r="E599" s="19"/>
      <c r="F599" s="19"/>
    </row>
    <row r="600" ht="15.75" customHeight="1">
      <c r="A600" s="19"/>
      <c r="B600" s="19"/>
      <c r="C600" s="19"/>
      <c r="D600" s="19"/>
      <c r="E600" s="19"/>
      <c r="F600" s="19"/>
    </row>
    <row r="601" ht="15.75" customHeight="1">
      <c r="A601" s="19"/>
      <c r="B601" s="19"/>
      <c r="C601" s="19"/>
      <c r="D601" s="19"/>
      <c r="E601" s="19"/>
      <c r="F601" s="19"/>
    </row>
    <row r="602" ht="15.75" customHeight="1">
      <c r="A602" s="19"/>
      <c r="B602" s="19"/>
      <c r="C602" s="19"/>
      <c r="D602" s="19"/>
      <c r="E602" s="19"/>
      <c r="F602" s="19"/>
    </row>
    <row r="603" ht="15.75" customHeight="1">
      <c r="A603" s="19"/>
      <c r="B603" s="19"/>
      <c r="C603" s="19"/>
      <c r="D603" s="19"/>
      <c r="E603" s="19"/>
      <c r="F603" s="19"/>
    </row>
    <row r="604" ht="15.75" customHeight="1">
      <c r="A604" s="19"/>
      <c r="B604" s="19"/>
      <c r="C604" s="19"/>
      <c r="D604" s="19"/>
      <c r="E604" s="19"/>
      <c r="F604" s="19"/>
    </row>
    <row r="605" ht="15.75" customHeight="1">
      <c r="A605" s="19"/>
      <c r="B605" s="19"/>
      <c r="C605" s="19"/>
      <c r="D605" s="19"/>
      <c r="E605" s="19"/>
      <c r="F605" s="19"/>
    </row>
    <row r="606" ht="15.75" customHeight="1">
      <c r="A606" s="19"/>
      <c r="B606" s="19"/>
      <c r="C606" s="19"/>
      <c r="D606" s="19"/>
      <c r="E606" s="19"/>
      <c r="F606" s="19"/>
    </row>
    <row r="607" ht="15.75" customHeight="1">
      <c r="A607" s="19"/>
      <c r="B607" s="19"/>
      <c r="C607" s="19"/>
      <c r="D607" s="19"/>
      <c r="E607" s="19"/>
      <c r="F607" s="19"/>
    </row>
    <row r="608" ht="15.75" customHeight="1">
      <c r="A608" s="19"/>
      <c r="B608" s="19"/>
      <c r="C608" s="19"/>
      <c r="D608" s="19"/>
      <c r="E608" s="19"/>
      <c r="F608" s="19"/>
    </row>
    <row r="609" ht="15.75" customHeight="1">
      <c r="A609" s="19"/>
      <c r="B609" s="19"/>
      <c r="C609" s="19"/>
      <c r="D609" s="19"/>
      <c r="E609" s="19"/>
      <c r="F609" s="19"/>
    </row>
    <row r="610" ht="15.75" customHeight="1">
      <c r="A610" s="19"/>
      <c r="B610" s="19"/>
      <c r="C610" s="19"/>
      <c r="D610" s="19"/>
      <c r="E610" s="19"/>
      <c r="F610" s="19"/>
    </row>
    <row r="611" ht="15.75" customHeight="1">
      <c r="A611" s="19"/>
      <c r="B611" s="19"/>
      <c r="C611" s="19"/>
      <c r="D611" s="19"/>
      <c r="E611" s="19"/>
      <c r="F611" s="19"/>
    </row>
    <row r="612" ht="15.75" customHeight="1">
      <c r="A612" s="19"/>
      <c r="B612" s="19"/>
      <c r="C612" s="19"/>
      <c r="D612" s="19"/>
      <c r="E612" s="19"/>
      <c r="F612" s="19"/>
    </row>
    <row r="613" ht="15.75" customHeight="1">
      <c r="A613" s="19"/>
      <c r="B613" s="19"/>
      <c r="C613" s="19"/>
      <c r="D613" s="19"/>
      <c r="E613" s="19"/>
      <c r="F613" s="19"/>
    </row>
    <row r="614" ht="15.75" customHeight="1">
      <c r="A614" s="19"/>
      <c r="B614" s="19"/>
      <c r="C614" s="19"/>
      <c r="D614" s="19"/>
      <c r="E614" s="19"/>
      <c r="F614" s="19"/>
    </row>
    <row r="615" ht="15.75" customHeight="1">
      <c r="A615" s="19"/>
      <c r="B615" s="19"/>
      <c r="C615" s="19"/>
      <c r="D615" s="19"/>
      <c r="E615" s="19"/>
      <c r="F615" s="19"/>
    </row>
    <row r="616" ht="15.75" customHeight="1">
      <c r="A616" s="19"/>
      <c r="B616" s="19"/>
      <c r="C616" s="19"/>
      <c r="D616" s="19"/>
      <c r="E616" s="19"/>
      <c r="F616" s="19"/>
    </row>
    <row r="617" ht="15.75" customHeight="1">
      <c r="A617" s="19"/>
      <c r="B617" s="19"/>
      <c r="C617" s="19"/>
      <c r="D617" s="19"/>
      <c r="E617" s="19"/>
      <c r="F617" s="19"/>
    </row>
    <row r="618" ht="15.75" customHeight="1">
      <c r="A618" s="19"/>
      <c r="B618" s="19"/>
      <c r="C618" s="19"/>
      <c r="D618" s="19"/>
      <c r="E618" s="19"/>
      <c r="F618" s="19"/>
    </row>
    <row r="619" ht="15.75" customHeight="1">
      <c r="A619" s="19"/>
      <c r="B619" s="19"/>
      <c r="C619" s="19"/>
      <c r="D619" s="19"/>
      <c r="E619" s="19"/>
      <c r="F619" s="19"/>
    </row>
    <row r="620" ht="15.75" customHeight="1">
      <c r="A620" s="19"/>
      <c r="B620" s="19"/>
      <c r="C620" s="19"/>
      <c r="D620" s="19"/>
      <c r="E620" s="19"/>
      <c r="F620" s="19"/>
    </row>
    <row r="621" ht="15.75" customHeight="1">
      <c r="A621" s="19"/>
      <c r="B621" s="19"/>
      <c r="C621" s="19"/>
      <c r="D621" s="19"/>
      <c r="E621" s="19"/>
      <c r="F621" s="19"/>
    </row>
    <row r="622" ht="15.75" customHeight="1">
      <c r="A622" s="19"/>
      <c r="B622" s="19"/>
      <c r="C622" s="19"/>
      <c r="D622" s="19"/>
      <c r="E622" s="19"/>
      <c r="F622" s="19"/>
    </row>
    <row r="623" ht="15.75" customHeight="1">
      <c r="A623" s="19"/>
      <c r="B623" s="19"/>
      <c r="C623" s="19"/>
      <c r="D623" s="19"/>
      <c r="E623" s="19"/>
      <c r="F623" s="19"/>
    </row>
    <row r="624" ht="15.75" customHeight="1">
      <c r="A624" s="19"/>
      <c r="B624" s="19"/>
      <c r="C624" s="19"/>
      <c r="D624" s="19"/>
      <c r="E624" s="19"/>
      <c r="F624" s="19"/>
    </row>
    <row r="625" ht="15.75" customHeight="1">
      <c r="A625" s="19"/>
      <c r="B625" s="19"/>
      <c r="C625" s="19"/>
      <c r="D625" s="19"/>
      <c r="E625" s="19"/>
      <c r="F625" s="19"/>
    </row>
    <row r="626" ht="15.75" customHeight="1">
      <c r="A626" s="19"/>
      <c r="B626" s="19"/>
      <c r="C626" s="19"/>
      <c r="D626" s="19"/>
      <c r="E626" s="19"/>
      <c r="F626" s="19"/>
    </row>
    <row r="627" ht="15.75" customHeight="1">
      <c r="A627" s="19"/>
      <c r="B627" s="19"/>
      <c r="C627" s="19"/>
      <c r="D627" s="19"/>
      <c r="E627" s="19"/>
      <c r="F627" s="19"/>
    </row>
    <row r="628" ht="15.75" customHeight="1">
      <c r="A628" s="19"/>
      <c r="B628" s="19"/>
      <c r="C628" s="19"/>
      <c r="D628" s="19"/>
      <c r="E628" s="19"/>
      <c r="F628" s="19"/>
    </row>
    <row r="629" ht="15.75" customHeight="1">
      <c r="A629" s="19"/>
      <c r="B629" s="19"/>
      <c r="C629" s="19"/>
      <c r="D629" s="19"/>
      <c r="E629" s="19"/>
      <c r="F629" s="19"/>
    </row>
    <row r="630" ht="15.75" customHeight="1">
      <c r="A630" s="19"/>
      <c r="B630" s="19"/>
      <c r="C630" s="19"/>
      <c r="D630" s="19"/>
      <c r="E630" s="19"/>
      <c r="F630" s="19"/>
    </row>
    <row r="631" ht="15.75" customHeight="1">
      <c r="A631" s="19"/>
      <c r="B631" s="19"/>
      <c r="C631" s="19"/>
      <c r="D631" s="19"/>
      <c r="E631" s="19"/>
      <c r="F631" s="19"/>
    </row>
    <row r="632" ht="15.75" customHeight="1">
      <c r="A632" s="19"/>
      <c r="B632" s="19"/>
      <c r="C632" s="19"/>
      <c r="D632" s="19"/>
      <c r="E632" s="19"/>
      <c r="F632" s="19"/>
    </row>
    <row r="633" ht="15.75" customHeight="1">
      <c r="A633" s="19"/>
      <c r="B633" s="19"/>
      <c r="C633" s="19"/>
      <c r="D633" s="19"/>
      <c r="E633" s="19"/>
      <c r="F633" s="19"/>
    </row>
    <row r="634" ht="15.75" customHeight="1">
      <c r="A634" s="19"/>
      <c r="B634" s="19"/>
      <c r="C634" s="19"/>
      <c r="D634" s="19"/>
      <c r="E634" s="19"/>
      <c r="F634" s="19"/>
    </row>
    <row r="635" ht="15.75" customHeight="1">
      <c r="A635" s="19"/>
      <c r="B635" s="19"/>
      <c r="C635" s="19"/>
      <c r="D635" s="19"/>
      <c r="E635" s="19"/>
      <c r="F635" s="19"/>
    </row>
    <row r="636" ht="15.75" customHeight="1">
      <c r="A636" s="19"/>
      <c r="B636" s="19"/>
      <c r="C636" s="19"/>
      <c r="D636" s="19"/>
      <c r="E636" s="19"/>
      <c r="F636" s="19"/>
    </row>
    <row r="637" ht="15.75" customHeight="1">
      <c r="A637" s="19"/>
      <c r="B637" s="19"/>
      <c r="C637" s="19"/>
      <c r="D637" s="19"/>
      <c r="E637" s="19"/>
      <c r="F637" s="19"/>
    </row>
    <row r="638" ht="15.75" customHeight="1">
      <c r="A638" s="19"/>
      <c r="B638" s="19"/>
      <c r="C638" s="19"/>
      <c r="D638" s="19"/>
      <c r="E638" s="19"/>
      <c r="F638" s="19"/>
    </row>
    <row r="639" ht="15.75" customHeight="1">
      <c r="A639" s="19"/>
      <c r="B639" s="19"/>
      <c r="C639" s="19"/>
      <c r="D639" s="19"/>
      <c r="E639" s="19"/>
      <c r="F639" s="19"/>
    </row>
    <row r="640" ht="15.75" customHeight="1">
      <c r="A640" s="19"/>
      <c r="B640" s="19"/>
      <c r="C640" s="19"/>
      <c r="D640" s="19"/>
      <c r="E640" s="19"/>
      <c r="F640" s="19"/>
    </row>
    <row r="641" ht="15.75" customHeight="1">
      <c r="A641" s="19"/>
      <c r="B641" s="19"/>
      <c r="C641" s="19"/>
      <c r="D641" s="19"/>
      <c r="E641" s="19"/>
      <c r="F641" s="19"/>
    </row>
    <row r="642" ht="15.75" customHeight="1">
      <c r="A642" s="19"/>
      <c r="B642" s="19"/>
      <c r="C642" s="19"/>
      <c r="D642" s="19"/>
      <c r="E642" s="19"/>
      <c r="F642" s="19"/>
    </row>
    <row r="643" ht="15.75" customHeight="1">
      <c r="A643" s="19"/>
      <c r="B643" s="19"/>
      <c r="C643" s="19"/>
      <c r="D643" s="19"/>
      <c r="E643" s="19"/>
      <c r="F643" s="19"/>
    </row>
    <row r="644" ht="15.75" customHeight="1">
      <c r="A644" s="19"/>
      <c r="B644" s="19"/>
      <c r="C644" s="19"/>
      <c r="D644" s="19"/>
      <c r="E644" s="19"/>
      <c r="F644" s="19"/>
    </row>
    <row r="645" ht="15.75" customHeight="1">
      <c r="A645" s="19"/>
      <c r="B645" s="19"/>
      <c r="C645" s="19"/>
      <c r="D645" s="19"/>
      <c r="E645" s="19"/>
      <c r="F645" s="19"/>
    </row>
    <row r="646" ht="15.75" customHeight="1">
      <c r="A646" s="19"/>
      <c r="B646" s="19"/>
      <c r="C646" s="19"/>
      <c r="D646" s="19"/>
      <c r="E646" s="19"/>
      <c r="F646" s="19"/>
    </row>
    <row r="647" ht="15.75" customHeight="1">
      <c r="A647" s="19"/>
      <c r="B647" s="19"/>
      <c r="C647" s="19"/>
      <c r="D647" s="19"/>
      <c r="E647" s="19"/>
      <c r="F647" s="19"/>
    </row>
    <row r="648" ht="15.75" customHeight="1">
      <c r="A648" s="19"/>
      <c r="B648" s="19"/>
      <c r="C648" s="19"/>
      <c r="D648" s="19"/>
      <c r="E648" s="19"/>
      <c r="F648" s="19"/>
    </row>
    <row r="649" ht="15.75" customHeight="1">
      <c r="A649" s="19"/>
      <c r="B649" s="19"/>
      <c r="C649" s="19"/>
      <c r="D649" s="19"/>
      <c r="E649" s="19"/>
      <c r="F649" s="19"/>
    </row>
    <row r="650" ht="15.75" customHeight="1">
      <c r="A650" s="19"/>
      <c r="B650" s="19"/>
      <c r="C650" s="19"/>
      <c r="D650" s="19"/>
      <c r="E650" s="19"/>
      <c r="F650" s="19"/>
    </row>
    <row r="651" ht="15.75" customHeight="1">
      <c r="A651" s="19"/>
      <c r="B651" s="19"/>
      <c r="C651" s="19"/>
      <c r="D651" s="19"/>
      <c r="E651" s="19"/>
      <c r="F651" s="19"/>
    </row>
    <row r="652" ht="15.75" customHeight="1">
      <c r="A652" s="19"/>
      <c r="B652" s="19"/>
      <c r="C652" s="19"/>
      <c r="D652" s="19"/>
      <c r="E652" s="19"/>
      <c r="F652" s="19"/>
    </row>
    <row r="653" ht="15.75" customHeight="1">
      <c r="A653" s="19"/>
      <c r="B653" s="19"/>
      <c r="C653" s="19"/>
      <c r="D653" s="19"/>
      <c r="E653" s="19"/>
      <c r="F653" s="19"/>
    </row>
    <row r="654" ht="15.75" customHeight="1">
      <c r="A654" s="19"/>
      <c r="B654" s="19"/>
      <c r="C654" s="19"/>
      <c r="D654" s="19"/>
      <c r="E654" s="19"/>
      <c r="F654" s="19"/>
    </row>
    <row r="655" ht="15.75" customHeight="1">
      <c r="A655" s="19"/>
      <c r="B655" s="19"/>
      <c r="C655" s="19"/>
      <c r="D655" s="19"/>
      <c r="E655" s="19"/>
      <c r="F655" s="19"/>
    </row>
    <row r="656" ht="15.75" customHeight="1">
      <c r="A656" s="19"/>
      <c r="B656" s="19"/>
      <c r="C656" s="19"/>
      <c r="D656" s="19"/>
      <c r="E656" s="19"/>
      <c r="F656" s="19"/>
    </row>
    <row r="657" ht="15.75" customHeight="1">
      <c r="A657" s="19"/>
      <c r="B657" s="19"/>
      <c r="C657" s="19"/>
      <c r="D657" s="19"/>
      <c r="E657" s="19"/>
      <c r="F657" s="19"/>
    </row>
    <row r="658" ht="15.75" customHeight="1">
      <c r="A658" s="19"/>
      <c r="B658" s="19"/>
      <c r="C658" s="19"/>
      <c r="D658" s="19"/>
      <c r="E658" s="19"/>
      <c r="F658" s="19"/>
    </row>
    <row r="659" ht="15.75" customHeight="1">
      <c r="A659" s="19"/>
      <c r="B659" s="19"/>
      <c r="C659" s="19"/>
      <c r="D659" s="19"/>
      <c r="E659" s="19"/>
      <c r="F659" s="19"/>
    </row>
    <row r="660" ht="15.75" customHeight="1">
      <c r="A660" s="19"/>
      <c r="B660" s="19"/>
      <c r="C660" s="19"/>
      <c r="D660" s="19"/>
      <c r="E660" s="19"/>
      <c r="F660" s="19"/>
    </row>
    <row r="661" ht="15.75" customHeight="1">
      <c r="A661" s="19"/>
      <c r="B661" s="19"/>
      <c r="C661" s="19"/>
      <c r="D661" s="19"/>
      <c r="E661" s="19"/>
      <c r="F661" s="19"/>
    </row>
    <row r="662" ht="15.75" customHeight="1">
      <c r="A662" s="19"/>
      <c r="B662" s="19"/>
      <c r="C662" s="19"/>
      <c r="D662" s="19"/>
      <c r="E662" s="19"/>
      <c r="F662" s="19"/>
    </row>
    <row r="663" ht="15.75" customHeight="1">
      <c r="A663" s="19"/>
      <c r="B663" s="19"/>
      <c r="C663" s="19"/>
      <c r="D663" s="19"/>
      <c r="E663" s="19"/>
      <c r="F663" s="19"/>
    </row>
    <row r="664" ht="15.75" customHeight="1">
      <c r="A664" s="19"/>
      <c r="B664" s="19"/>
      <c r="C664" s="19"/>
      <c r="D664" s="19"/>
      <c r="E664" s="19"/>
      <c r="F664" s="19"/>
    </row>
    <row r="665" ht="15.75" customHeight="1">
      <c r="A665" s="19"/>
      <c r="B665" s="19"/>
      <c r="C665" s="19"/>
      <c r="D665" s="19"/>
      <c r="E665" s="19"/>
      <c r="F665" s="19"/>
    </row>
    <row r="666" ht="15.75" customHeight="1">
      <c r="A666" s="19"/>
      <c r="B666" s="19"/>
      <c r="C666" s="19"/>
      <c r="D666" s="19"/>
      <c r="E666" s="19"/>
      <c r="F666" s="19"/>
    </row>
    <row r="667" ht="15.75" customHeight="1">
      <c r="A667" s="19"/>
      <c r="B667" s="19"/>
      <c r="C667" s="19"/>
      <c r="D667" s="19"/>
      <c r="E667" s="19"/>
      <c r="F667" s="19"/>
    </row>
    <row r="668" ht="15.75" customHeight="1">
      <c r="A668" s="19"/>
      <c r="B668" s="19"/>
      <c r="C668" s="19"/>
      <c r="D668" s="19"/>
      <c r="E668" s="19"/>
      <c r="F668" s="19"/>
    </row>
    <row r="669" ht="15.75" customHeight="1">
      <c r="A669" s="19"/>
      <c r="B669" s="19"/>
      <c r="C669" s="19"/>
      <c r="D669" s="19"/>
      <c r="E669" s="19"/>
      <c r="F669" s="19"/>
    </row>
    <row r="670" ht="15.75" customHeight="1">
      <c r="A670" s="19"/>
      <c r="B670" s="19"/>
      <c r="C670" s="19"/>
      <c r="D670" s="19"/>
      <c r="E670" s="19"/>
      <c r="F670" s="19"/>
    </row>
    <row r="671" ht="15.75" customHeight="1">
      <c r="A671" s="19"/>
      <c r="B671" s="19"/>
      <c r="C671" s="19"/>
      <c r="D671" s="19"/>
      <c r="E671" s="19"/>
      <c r="F671" s="19"/>
    </row>
    <row r="672" ht="15.75" customHeight="1">
      <c r="A672" s="19"/>
      <c r="B672" s="19"/>
      <c r="C672" s="19"/>
      <c r="D672" s="19"/>
      <c r="E672" s="19"/>
      <c r="F672" s="19"/>
    </row>
    <row r="673" ht="15.75" customHeight="1">
      <c r="A673" s="19"/>
      <c r="B673" s="19"/>
      <c r="C673" s="19"/>
      <c r="D673" s="19"/>
      <c r="E673" s="19"/>
      <c r="F673" s="19"/>
    </row>
    <row r="674" ht="15.75" customHeight="1">
      <c r="A674" s="19"/>
      <c r="B674" s="19"/>
      <c r="C674" s="19"/>
      <c r="D674" s="19"/>
      <c r="E674" s="19"/>
      <c r="F674" s="19"/>
    </row>
    <row r="675" ht="15.75" customHeight="1">
      <c r="A675" s="19"/>
      <c r="B675" s="19"/>
      <c r="C675" s="19"/>
      <c r="D675" s="19"/>
      <c r="E675" s="19"/>
      <c r="F675" s="19"/>
    </row>
    <row r="676" ht="15.75" customHeight="1">
      <c r="A676" s="19"/>
      <c r="B676" s="19"/>
      <c r="C676" s="19"/>
      <c r="D676" s="19"/>
      <c r="E676" s="19"/>
      <c r="F676" s="19"/>
    </row>
    <row r="677" ht="15.75" customHeight="1">
      <c r="A677" s="19"/>
      <c r="B677" s="19"/>
      <c r="C677" s="19"/>
      <c r="D677" s="19"/>
      <c r="E677" s="19"/>
      <c r="F677" s="19"/>
    </row>
    <row r="678" ht="15.75" customHeight="1">
      <c r="A678" s="19"/>
      <c r="B678" s="19"/>
      <c r="C678" s="19"/>
      <c r="D678" s="19"/>
      <c r="E678" s="19"/>
      <c r="F678" s="19"/>
    </row>
    <row r="679" ht="15.75" customHeight="1">
      <c r="A679" s="19"/>
      <c r="B679" s="19"/>
      <c r="C679" s="19"/>
      <c r="D679" s="19"/>
      <c r="E679" s="19"/>
      <c r="F679" s="19"/>
    </row>
    <row r="680" ht="15.75" customHeight="1">
      <c r="A680" s="19"/>
      <c r="B680" s="19"/>
      <c r="C680" s="19"/>
      <c r="D680" s="19"/>
      <c r="E680" s="19"/>
      <c r="F680" s="19"/>
    </row>
    <row r="681" ht="15.75" customHeight="1">
      <c r="A681" s="19"/>
      <c r="B681" s="19"/>
      <c r="C681" s="19"/>
      <c r="D681" s="19"/>
      <c r="E681" s="19"/>
      <c r="F681" s="19"/>
    </row>
    <row r="682" ht="15.75" customHeight="1">
      <c r="A682" s="19"/>
      <c r="B682" s="19"/>
      <c r="C682" s="19"/>
      <c r="D682" s="19"/>
      <c r="E682" s="19"/>
      <c r="F682" s="19"/>
    </row>
    <row r="683" ht="15.75" customHeight="1">
      <c r="A683" s="19"/>
      <c r="B683" s="19"/>
      <c r="C683" s="19"/>
      <c r="D683" s="19"/>
      <c r="E683" s="19"/>
      <c r="F683" s="19"/>
    </row>
    <row r="684" ht="15.75" customHeight="1">
      <c r="A684" s="19"/>
      <c r="B684" s="19"/>
      <c r="C684" s="19"/>
      <c r="D684" s="19"/>
      <c r="E684" s="19"/>
      <c r="F684" s="19"/>
    </row>
    <row r="685" ht="15.75" customHeight="1">
      <c r="A685" s="19"/>
      <c r="B685" s="19"/>
      <c r="C685" s="19"/>
      <c r="D685" s="19"/>
      <c r="E685" s="19"/>
      <c r="F685" s="19"/>
    </row>
    <row r="686" ht="15.75" customHeight="1">
      <c r="A686" s="19"/>
      <c r="B686" s="19"/>
      <c r="C686" s="19"/>
      <c r="D686" s="19"/>
      <c r="E686" s="19"/>
      <c r="F686" s="19"/>
    </row>
    <row r="687" ht="15.75" customHeight="1">
      <c r="A687" s="19"/>
      <c r="B687" s="19"/>
      <c r="C687" s="19"/>
      <c r="D687" s="19"/>
      <c r="E687" s="19"/>
      <c r="F687" s="19"/>
    </row>
    <row r="688" ht="15.75" customHeight="1">
      <c r="A688" s="19"/>
      <c r="B688" s="19"/>
      <c r="C688" s="19"/>
      <c r="D688" s="19"/>
      <c r="E688" s="19"/>
      <c r="F688" s="19"/>
    </row>
    <row r="689" ht="15.75" customHeight="1">
      <c r="A689" s="19"/>
      <c r="B689" s="19"/>
      <c r="C689" s="19"/>
      <c r="D689" s="19"/>
      <c r="E689" s="19"/>
      <c r="F689" s="19"/>
    </row>
    <row r="690" ht="15.75" customHeight="1">
      <c r="A690" s="19"/>
      <c r="B690" s="19"/>
      <c r="C690" s="19"/>
      <c r="D690" s="19"/>
      <c r="E690" s="19"/>
      <c r="F690" s="19"/>
    </row>
    <row r="691" ht="15.75" customHeight="1">
      <c r="A691" s="19"/>
      <c r="B691" s="19"/>
      <c r="C691" s="19"/>
      <c r="D691" s="19"/>
      <c r="E691" s="19"/>
      <c r="F691" s="19"/>
    </row>
    <row r="692" ht="15.75" customHeight="1">
      <c r="A692" s="19"/>
      <c r="B692" s="19"/>
      <c r="C692" s="19"/>
      <c r="D692" s="19"/>
      <c r="E692" s="19"/>
      <c r="F692" s="19"/>
    </row>
    <row r="693" ht="15.75" customHeight="1">
      <c r="A693" s="19"/>
      <c r="B693" s="19"/>
      <c r="C693" s="19"/>
      <c r="D693" s="19"/>
      <c r="E693" s="19"/>
      <c r="F693" s="19"/>
    </row>
    <row r="694" ht="15.75" customHeight="1">
      <c r="A694" s="19"/>
      <c r="B694" s="19"/>
      <c r="C694" s="19"/>
      <c r="D694" s="19"/>
      <c r="E694" s="19"/>
      <c r="F694" s="19"/>
    </row>
    <row r="695" ht="15.75" customHeight="1">
      <c r="A695" s="19"/>
      <c r="B695" s="19"/>
      <c r="C695" s="19"/>
      <c r="D695" s="19"/>
      <c r="E695" s="19"/>
      <c r="F695" s="19"/>
    </row>
    <row r="696" ht="15.75" customHeight="1">
      <c r="A696" s="19"/>
      <c r="B696" s="19"/>
      <c r="C696" s="19"/>
      <c r="D696" s="19"/>
      <c r="E696" s="19"/>
      <c r="F696" s="19"/>
    </row>
    <row r="697" ht="15.75" customHeight="1">
      <c r="A697" s="19"/>
      <c r="B697" s="19"/>
      <c r="C697" s="19"/>
      <c r="D697" s="19"/>
      <c r="E697" s="19"/>
      <c r="F697" s="19"/>
    </row>
    <row r="698" ht="15.75" customHeight="1">
      <c r="A698" s="19"/>
      <c r="B698" s="19"/>
      <c r="C698" s="19"/>
      <c r="D698" s="19"/>
      <c r="E698" s="19"/>
      <c r="F698" s="19"/>
    </row>
    <row r="699" ht="15.75" customHeight="1">
      <c r="A699" s="19"/>
      <c r="B699" s="19"/>
      <c r="C699" s="19"/>
      <c r="D699" s="19"/>
      <c r="E699" s="19"/>
      <c r="F699" s="19"/>
    </row>
    <row r="700" ht="15.75" customHeight="1">
      <c r="A700" s="19"/>
      <c r="B700" s="19"/>
      <c r="C700" s="19"/>
      <c r="D700" s="19"/>
      <c r="E700" s="19"/>
      <c r="F700" s="19"/>
    </row>
    <row r="701" ht="15.75" customHeight="1">
      <c r="A701" s="19"/>
      <c r="B701" s="19"/>
      <c r="C701" s="19"/>
      <c r="D701" s="19"/>
      <c r="E701" s="19"/>
      <c r="F701" s="19"/>
    </row>
    <row r="702" ht="15.75" customHeight="1">
      <c r="A702" s="19"/>
      <c r="B702" s="19"/>
      <c r="C702" s="19"/>
      <c r="D702" s="19"/>
      <c r="E702" s="19"/>
      <c r="F702" s="19"/>
    </row>
    <row r="703" ht="15.75" customHeight="1">
      <c r="A703" s="19"/>
      <c r="B703" s="19"/>
      <c r="C703" s="19"/>
      <c r="D703" s="19"/>
      <c r="E703" s="19"/>
      <c r="F703" s="19"/>
    </row>
    <row r="704" ht="15.75" customHeight="1">
      <c r="A704" s="19"/>
      <c r="B704" s="19"/>
      <c r="C704" s="19"/>
      <c r="D704" s="19"/>
      <c r="E704" s="19"/>
      <c r="F704" s="19"/>
    </row>
    <row r="705" ht="15.75" customHeight="1">
      <c r="A705" s="19"/>
      <c r="B705" s="19"/>
      <c r="C705" s="19"/>
      <c r="D705" s="19"/>
      <c r="E705" s="19"/>
      <c r="F705" s="19"/>
    </row>
    <row r="706" ht="15.75" customHeight="1">
      <c r="A706" s="19"/>
      <c r="B706" s="19"/>
      <c r="C706" s="19"/>
      <c r="D706" s="19"/>
      <c r="E706" s="19"/>
      <c r="F706" s="19"/>
    </row>
    <row r="707" ht="15.75" customHeight="1">
      <c r="A707" s="19"/>
      <c r="B707" s="19"/>
      <c r="C707" s="19"/>
      <c r="D707" s="19"/>
      <c r="E707" s="19"/>
      <c r="F707" s="19"/>
    </row>
    <row r="708" ht="15.75" customHeight="1">
      <c r="A708" s="19"/>
      <c r="B708" s="19"/>
      <c r="C708" s="19"/>
      <c r="D708" s="19"/>
      <c r="E708" s="19"/>
      <c r="F708" s="19"/>
    </row>
    <row r="709" ht="15.75" customHeight="1">
      <c r="A709" s="19"/>
      <c r="B709" s="19"/>
      <c r="C709" s="19"/>
      <c r="D709" s="19"/>
      <c r="E709" s="19"/>
      <c r="F709" s="19"/>
    </row>
    <row r="710" ht="15.75" customHeight="1">
      <c r="A710" s="19"/>
      <c r="B710" s="19"/>
      <c r="C710" s="19"/>
      <c r="D710" s="19"/>
      <c r="E710" s="19"/>
      <c r="F710" s="19"/>
    </row>
    <row r="711" ht="15.75" customHeight="1">
      <c r="A711" s="19"/>
      <c r="B711" s="19"/>
      <c r="C711" s="19"/>
      <c r="D711" s="19"/>
      <c r="E711" s="19"/>
      <c r="F711" s="19"/>
    </row>
    <row r="712" ht="15.75" customHeight="1">
      <c r="A712" s="19"/>
      <c r="B712" s="19"/>
      <c r="C712" s="19"/>
      <c r="D712" s="19"/>
      <c r="E712" s="19"/>
      <c r="F712" s="19"/>
    </row>
    <row r="713" ht="15.75" customHeight="1">
      <c r="A713" s="19"/>
      <c r="B713" s="19"/>
      <c r="C713" s="19"/>
      <c r="D713" s="19"/>
      <c r="E713" s="19"/>
      <c r="F713" s="19"/>
    </row>
    <row r="714" ht="15.75" customHeight="1">
      <c r="A714" s="19"/>
      <c r="B714" s="19"/>
      <c r="C714" s="19"/>
      <c r="D714" s="19"/>
      <c r="E714" s="19"/>
      <c r="F714" s="19"/>
    </row>
    <row r="715" ht="15.75" customHeight="1">
      <c r="A715" s="19"/>
      <c r="B715" s="19"/>
      <c r="C715" s="19"/>
      <c r="D715" s="19"/>
      <c r="E715" s="19"/>
      <c r="F715" s="19"/>
    </row>
    <row r="716" ht="15.75" customHeight="1">
      <c r="A716" s="19"/>
      <c r="B716" s="19"/>
      <c r="C716" s="19"/>
      <c r="D716" s="19"/>
      <c r="E716" s="19"/>
      <c r="F716" s="19"/>
    </row>
    <row r="717" ht="15.75" customHeight="1">
      <c r="A717" s="19"/>
      <c r="B717" s="19"/>
      <c r="C717" s="19"/>
      <c r="D717" s="19"/>
      <c r="E717" s="19"/>
      <c r="F717" s="19"/>
    </row>
    <row r="718" ht="15.75" customHeight="1">
      <c r="A718" s="19"/>
      <c r="B718" s="19"/>
      <c r="C718" s="19"/>
      <c r="D718" s="19"/>
      <c r="E718" s="19"/>
      <c r="F718" s="19"/>
    </row>
    <row r="719" ht="15.75" customHeight="1">
      <c r="A719" s="19"/>
      <c r="B719" s="19"/>
      <c r="C719" s="19"/>
      <c r="D719" s="19"/>
      <c r="E719" s="19"/>
      <c r="F719" s="19"/>
    </row>
    <row r="720" ht="15.75" customHeight="1">
      <c r="A720" s="19"/>
      <c r="B720" s="19"/>
      <c r="C720" s="19"/>
      <c r="D720" s="19"/>
      <c r="E720" s="19"/>
      <c r="F720" s="19"/>
    </row>
    <row r="721" ht="15.75" customHeight="1">
      <c r="A721" s="19"/>
      <c r="B721" s="19"/>
      <c r="C721" s="19"/>
      <c r="D721" s="19"/>
      <c r="E721" s="19"/>
      <c r="F721" s="19"/>
    </row>
    <row r="722" ht="15.75" customHeight="1">
      <c r="A722" s="19"/>
      <c r="B722" s="19"/>
      <c r="C722" s="19"/>
      <c r="D722" s="19"/>
      <c r="E722" s="19"/>
      <c r="F722" s="19"/>
    </row>
    <row r="723" ht="15.75" customHeight="1">
      <c r="A723" s="19"/>
      <c r="B723" s="19"/>
      <c r="C723" s="19"/>
      <c r="D723" s="19"/>
      <c r="E723" s="19"/>
      <c r="F723" s="19"/>
    </row>
    <row r="724" ht="15.75" customHeight="1">
      <c r="A724" s="19"/>
      <c r="B724" s="19"/>
      <c r="C724" s="19"/>
      <c r="D724" s="19"/>
      <c r="E724" s="19"/>
      <c r="F724" s="19"/>
    </row>
    <row r="725" ht="15.75" customHeight="1">
      <c r="A725" s="19"/>
      <c r="B725" s="19"/>
      <c r="C725" s="19"/>
      <c r="D725" s="19"/>
      <c r="E725" s="19"/>
      <c r="F725" s="19"/>
    </row>
    <row r="726" ht="15.75" customHeight="1">
      <c r="A726" s="19"/>
      <c r="B726" s="19"/>
      <c r="C726" s="19"/>
      <c r="D726" s="19"/>
      <c r="E726" s="19"/>
      <c r="F726" s="19"/>
    </row>
    <row r="727" ht="15.75" customHeight="1">
      <c r="A727" s="19"/>
      <c r="B727" s="19"/>
      <c r="C727" s="19"/>
      <c r="D727" s="19"/>
      <c r="E727" s="19"/>
      <c r="F727" s="19"/>
    </row>
    <row r="728" ht="15.75" customHeight="1">
      <c r="A728" s="19"/>
      <c r="B728" s="19"/>
      <c r="C728" s="19"/>
      <c r="D728" s="19"/>
      <c r="E728" s="19"/>
      <c r="F728" s="19"/>
    </row>
    <row r="729" ht="15.75" customHeight="1">
      <c r="A729" s="19"/>
      <c r="B729" s="19"/>
      <c r="C729" s="19"/>
      <c r="D729" s="19"/>
      <c r="E729" s="19"/>
      <c r="F729" s="19"/>
    </row>
    <row r="730" ht="15.75" customHeight="1">
      <c r="A730" s="19"/>
      <c r="B730" s="19"/>
      <c r="C730" s="19"/>
      <c r="D730" s="19"/>
      <c r="E730" s="19"/>
      <c r="F730" s="19"/>
    </row>
    <row r="731" ht="15.75" customHeight="1">
      <c r="A731" s="19"/>
      <c r="B731" s="19"/>
      <c r="C731" s="19"/>
      <c r="D731" s="19"/>
      <c r="E731" s="19"/>
      <c r="F731" s="19"/>
    </row>
    <row r="732" ht="15.75" customHeight="1">
      <c r="A732" s="19"/>
      <c r="B732" s="19"/>
      <c r="C732" s="19"/>
      <c r="D732" s="19"/>
      <c r="E732" s="19"/>
      <c r="F732" s="19"/>
    </row>
    <row r="733" ht="15.75" customHeight="1">
      <c r="A733" s="19"/>
      <c r="B733" s="19"/>
      <c r="C733" s="19"/>
      <c r="D733" s="19"/>
      <c r="E733" s="19"/>
      <c r="F733" s="19"/>
    </row>
    <row r="734" ht="15.75" customHeight="1">
      <c r="A734" s="19"/>
      <c r="B734" s="19"/>
      <c r="C734" s="19"/>
      <c r="D734" s="19"/>
      <c r="E734" s="19"/>
      <c r="F734" s="19"/>
    </row>
    <row r="735" ht="15.75" customHeight="1">
      <c r="A735" s="19"/>
      <c r="B735" s="19"/>
      <c r="C735" s="19"/>
      <c r="D735" s="19"/>
      <c r="E735" s="19"/>
      <c r="F735" s="19"/>
    </row>
    <row r="736" ht="15.75" customHeight="1">
      <c r="A736" s="19"/>
      <c r="B736" s="19"/>
      <c r="C736" s="19"/>
      <c r="D736" s="19"/>
      <c r="E736" s="19"/>
      <c r="F736" s="19"/>
    </row>
    <row r="737" ht="15.75" customHeight="1">
      <c r="A737" s="19"/>
      <c r="B737" s="19"/>
      <c r="C737" s="19"/>
      <c r="D737" s="19"/>
      <c r="E737" s="19"/>
      <c r="F737" s="19"/>
    </row>
    <row r="738" ht="15.75" customHeight="1">
      <c r="A738" s="19"/>
      <c r="B738" s="19"/>
      <c r="C738" s="19"/>
      <c r="D738" s="19"/>
      <c r="E738" s="19"/>
      <c r="F738" s="19"/>
    </row>
    <row r="739" ht="15.75" customHeight="1">
      <c r="A739" s="19"/>
      <c r="B739" s="19"/>
      <c r="C739" s="19"/>
      <c r="D739" s="19"/>
      <c r="E739" s="19"/>
      <c r="F739" s="19"/>
    </row>
    <row r="740" ht="15.75" customHeight="1">
      <c r="A740" s="19"/>
      <c r="B740" s="19"/>
      <c r="C740" s="19"/>
      <c r="D740" s="19"/>
      <c r="E740" s="19"/>
      <c r="F740" s="19"/>
    </row>
    <row r="741" ht="15.75" customHeight="1">
      <c r="A741" s="19"/>
      <c r="B741" s="19"/>
      <c r="C741" s="19"/>
      <c r="D741" s="19"/>
      <c r="E741" s="19"/>
      <c r="F741" s="19"/>
    </row>
    <row r="742" ht="15.75" customHeight="1">
      <c r="A742" s="19"/>
      <c r="B742" s="19"/>
      <c r="C742" s="19"/>
      <c r="D742" s="19"/>
      <c r="E742" s="19"/>
      <c r="F742" s="19"/>
    </row>
    <row r="743" ht="15.75" customHeight="1">
      <c r="A743" s="19"/>
      <c r="B743" s="19"/>
      <c r="C743" s="19"/>
      <c r="D743" s="19"/>
      <c r="E743" s="19"/>
      <c r="F743" s="19"/>
    </row>
    <row r="744" ht="15.75" customHeight="1">
      <c r="A744" s="19"/>
      <c r="B744" s="19"/>
      <c r="C744" s="19"/>
      <c r="D744" s="19"/>
      <c r="E744" s="19"/>
      <c r="F744" s="19"/>
    </row>
    <row r="745" ht="15.75" customHeight="1">
      <c r="A745" s="19"/>
      <c r="B745" s="19"/>
      <c r="C745" s="19"/>
      <c r="D745" s="19"/>
      <c r="E745" s="19"/>
      <c r="F745" s="19"/>
    </row>
    <row r="746" ht="15.75" customHeight="1">
      <c r="A746" s="19"/>
      <c r="B746" s="19"/>
      <c r="C746" s="19"/>
      <c r="D746" s="19"/>
      <c r="E746" s="19"/>
      <c r="F746" s="19"/>
    </row>
    <row r="747" ht="15.75" customHeight="1">
      <c r="A747" s="19"/>
      <c r="B747" s="19"/>
      <c r="C747" s="19"/>
      <c r="D747" s="19"/>
      <c r="E747" s="19"/>
      <c r="F747" s="19"/>
    </row>
    <row r="748" ht="15.75" customHeight="1">
      <c r="A748" s="19"/>
      <c r="B748" s="19"/>
      <c r="C748" s="19"/>
      <c r="D748" s="19"/>
      <c r="E748" s="19"/>
      <c r="F748" s="19"/>
    </row>
    <row r="749" ht="15.75" customHeight="1">
      <c r="A749" s="19"/>
      <c r="B749" s="19"/>
      <c r="C749" s="19"/>
      <c r="D749" s="19"/>
      <c r="E749" s="19"/>
      <c r="F749" s="19"/>
    </row>
    <row r="750" ht="15.75" customHeight="1">
      <c r="A750" s="19"/>
      <c r="B750" s="19"/>
      <c r="C750" s="19"/>
      <c r="D750" s="19"/>
      <c r="E750" s="19"/>
      <c r="F750" s="19"/>
    </row>
    <row r="751" ht="15.75" customHeight="1">
      <c r="A751" s="19"/>
      <c r="B751" s="19"/>
      <c r="C751" s="19"/>
      <c r="D751" s="19"/>
      <c r="E751" s="19"/>
      <c r="F751" s="19"/>
    </row>
    <row r="752" ht="15.75" customHeight="1">
      <c r="A752" s="19"/>
      <c r="B752" s="19"/>
      <c r="C752" s="19"/>
      <c r="D752" s="19"/>
      <c r="E752" s="19"/>
      <c r="F752" s="19"/>
    </row>
    <row r="753" ht="15.75" customHeight="1">
      <c r="A753" s="19"/>
      <c r="B753" s="19"/>
      <c r="C753" s="19"/>
      <c r="D753" s="19"/>
      <c r="E753" s="19"/>
      <c r="F753" s="19"/>
    </row>
    <row r="754" ht="15.75" customHeight="1">
      <c r="A754" s="19"/>
      <c r="B754" s="19"/>
      <c r="C754" s="19"/>
      <c r="D754" s="19"/>
      <c r="E754" s="19"/>
      <c r="F754" s="19"/>
    </row>
    <row r="755" ht="15.75" customHeight="1">
      <c r="A755" s="19"/>
      <c r="B755" s="19"/>
      <c r="C755" s="19"/>
      <c r="D755" s="19"/>
      <c r="E755" s="19"/>
      <c r="F755" s="19"/>
    </row>
    <row r="756" ht="15.75" customHeight="1">
      <c r="A756" s="19"/>
      <c r="B756" s="19"/>
      <c r="C756" s="19"/>
      <c r="D756" s="19"/>
      <c r="E756" s="19"/>
      <c r="F756" s="19"/>
    </row>
    <row r="757" ht="15.75" customHeight="1">
      <c r="A757" s="19"/>
      <c r="B757" s="19"/>
      <c r="C757" s="19"/>
      <c r="D757" s="19"/>
      <c r="E757" s="19"/>
      <c r="F757" s="19"/>
    </row>
    <row r="758" ht="15.75" customHeight="1">
      <c r="A758" s="19"/>
      <c r="B758" s="19"/>
      <c r="C758" s="19"/>
      <c r="D758" s="19"/>
      <c r="E758" s="19"/>
      <c r="F758" s="19"/>
    </row>
    <row r="759" ht="15.75" customHeight="1">
      <c r="A759" s="19"/>
      <c r="B759" s="19"/>
      <c r="C759" s="19"/>
      <c r="D759" s="19"/>
      <c r="E759" s="19"/>
      <c r="F759" s="19"/>
    </row>
    <row r="760" ht="15.75" customHeight="1">
      <c r="A760" s="19"/>
      <c r="B760" s="19"/>
      <c r="C760" s="19"/>
      <c r="D760" s="19"/>
      <c r="E760" s="19"/>
      <c r="F760" s="19"/>
    </row>
    <row r="761" ht="15.75" customHeight="1">
      <c r="A761" s="19"/>
      <c r="B761" s="19"/>
      <c r="C761" s="19"/>
      <c r="D761" s="19"/>
      <c r="E761" s="19"/>
      <c r="F761" s="19"/>
    </row>
    <row r="762" ht="15.75" customHeight="1">
      <c r="A762" s="19"/>
      <c r="B762" s="19"/>
      <c r="C762" s="19"/>
      <c r="D762" s="19"/>
      <c r="E762" s="19"/>
      <c r="F762" s="19"/>
    </row>
    <row r="763" ht="15.75" customHeight="1">
      <c r="A763" s="19"/>
      <c r="B763" s="19"/>
      <c r="C763" s="19"/>
      <c r="D763" s="19"/>
      <c r="E763" s="19"/>
      <c r="F763" s="19"/>
    </row>
    <row r="764" ht="15.75" customHeight="1">
      <c r="A764" s="19"/>
      <c r="B764" s="19"/>
      <c r="C764" s="19"/>
      <c r="D764" s="19"/>
      <c r="E764" s="19"/>
      <c r="F764" s="19"/>
    </row>
    <row r="765" ht="15.75" customHeight="1">
      <c r="A765" s="19"/>
      <c r="B765" s="19"/>
      <c r="C765" s="19"/>
      <c r="D765" s="19"/>
      <c r="E765" s="19"/>
      <c r="F765" s="19"/>
    </row>
    <row r="766" ht="15.75" customHeight="1">
      <c r="A766" s="19"/>
      <c r="B766" s="19"/>
      <c r="C766" s="19"/>
      <c r="D766" s="19"/>
      <c r="E766" s="19"/>
      <c r="F766" s="19"/>
    </row>
    <row r="767" ht="15.75" customHeight="1">
      <c r="A767" s="19"/>
      <c r="B767" s="19"/>
      <c r="C767" s="19"/>
      <c r="D767" s="19"/>
      <c r="E767" s="19"/>
      <c r="F767" s="19"/>
    </row>
    <row r="768" ht="15.75" customHeight="1">
      <c r="A768" s="19"/>
      <c r="B768" s="19"/>
      <c r="C768" s="19"/>
      <c r="D768" s="19"/>
      <c r="E768" s="19"/>
      <c r="F768" s="19"/>
    </row>
    <row r="769" ht="15.75" customHeight="1">
      <c r="A769" s="19"/>
      <c r="B769" s="19"/>
      <c r="C769" s="19"/>
      <c r="D769" s="19"/>
      <c r="E769" s="19"/>
      <c r="F769" s="19"/>
    </row>
    <row r="770" ht="15.75" customHeight="1">
      <c r="A770" s="19"/>
      <c r="B770" s="19"/>
      <c r="C770" s="19"/>
      <c r="D770" s="19"/>
      <c r="E770" s="19"/>
      <c r="F770" s="19"/>
    </row>
    <row r="771" ht="15.75" customHeight="1">
      <c r="A771" s="19"/>
      <c r="B771" s="19"/>
      <c r="C771" s="19"/>
      <c r="D771" s="19"/>
      <c r="E771" s="19"/>
      <c r="F771" s="19"/>
    </row>
    <row r="772" ht="15.75" customHeight="1">
      <c r="A772" s="19"/>
      <c r="B772" s="19"/>
      <c r="C772" s="19"/>
      <c r="D772" s="19"/>
      <c r="E772" s="19"/>
      <c r="F772" s="19"/>
    </row>
    <row r="773" ht="15.75" customHeight="1">
      <c r="A773" s="19"/>
      <c r="B773" s="19"/>
      <c r="C773" s="19"/>
      <c r="D773" s="19"/>
      <c r="E773" s="19"/>
      <c r="F773" s="19"/>
    </row>
    <row r="774" ht="15.75" customHeight="1">
      <c r="A774" s="19"/>
      <c r="B774" s="19"/>
      <c r="C774" s="19"/>
      <c r="D774" s="19"/>
      <c r="E774" s="19"/>
      <c r="F774" s="19"/>
    </row>
    <row r="775" ht="15.75" customHeight="1">
      <c r="A775" s="19"/>
      <c r="B775" s="19"/>
      <c r="C775" s="19"/>
      <c r="D775" s="19"/>
      <c r="E775" s="19"/>
      <c r="F775" s="19"/>
    </row>
    <row r="776" ht="15.75" customHeight="1">
      <c r="A776" s="19"/>
      <c r="B776" s="19"/>
      <c r="C776" s="19"/>
      <c r="D776" s="19"/>
      <c r="E776" s="19"/>
      <c r="F776" s="19"/>
    </row>
    <row r="777" ht="15.75" customHeight="1">
      <c r="A777" s="19"/>
      <c r="B777" s="19"/>
      <c r="C777" s="19"/>
      <c r="D777" s="19"/>
      <c r="E777" s="19"/>
      <c r="F777" s="19"/>
    </row>
    <row r="778" ht="15.75" customHeight="1">
      <c r="A778" s="19"/>
      <c r="B778" s="19"/>
      <c r="C778" s="19"/>
      <c r="D778" s="19"/>
      <c r="E778" s="19"/>
      <c r="F778" s="19"/>
    </row>
    <row r="779" ht="15.75" customHeight="1">
      <c r="A779" s="19"/>
      <c r="B779" s="19"/>
      <c r="C779" s="19"/>
      <c r="D779" s="19"/>
      <c r="E779" s="19"/>
      <c r="F779" s="19"/>
    </row>
    <row r="780" ht="15.75" customHeight="1">
      <c r="A780" s="19"/>
      <c r="B780" s="19"/>
      <c r="C780" s="19"/>
      <c r="D780" s="19"/>
      <c r="E780" s="19"/>
      <c r="F780" s="19"/>
    </row>
    <row r="781" ht="15.75" customHeight="1">
      <c r="A781" s="19"/>
      <c r="B781" s="19"/>
      <c r="C781" s="19"/>
      <c r="D781" s="19"/>
      <c r="E781" s="19"/>
      <c r="F781" s="19"/>
    </row>
    <row r="782" ht="15.75" customHeight="1">
      <c r="A782" s="19"/>
      <c r="B782" s="19"/>
      <c r="C782" s="19"/>
      <c r="D782" s="19"/>
      <c r="E782" s="19"/>
      <c r="F782" s="19"/>
    </row>
    <row r="783" ht="15.75" customHeight="1">
      <c r="A783" s="19"/>
      <c r="B783" s="19"/>
      <c r="C783" s="19"/>
      <c r="D783" s="19"/>
      <c r="E783" s="19"/>
      <c r="F783" s="19"/>
    </row>
    <row r="784" ht="15.75" customHeight="1">
      <c r="A784" s="19"/>
      <c r="B784" s="19"/>
      <c r="C784" s="19"/>
      <c r="D784" s="19"/>
      <c r="E784" s="19"/>
      <c r="F784" s="19"/>
    </row>
    <row r="785" ht="15.75" customHeight="1">
      <c r="A785" s="19"/>
      <c r="B785" s="19"/>
      <c r="C785" s="19"/>
      <c r="D785" s="19"/>
      <c r="E785" s="19"/>
      <c r="F785" s="19"/>
    </row>
    <row r="786" ht="15.75" customHeight="1">
      <c r="A786" s="19"/>
      <c r="B786" s="19"/>
      <c r="C786" s="19"/>
      <c r="D786" s="19"/>
      <c r="E786" s="19"/>
      <c r="F786" s="19"/>
    </row>
    <row r="787" ht="15.75" customHeight="1">
      <c r="A787" s="19"/>
      <c r="B787" s="19"/>
      <c r="C787" s="19"/>
      <c r="D787" s="19"/>
      <c r="E787" s="19"/>
      <c r="F787" s="19"/>
    </row>
    <row r="788" ht="15.75" customHeight="1">
      <c r="A788" s="19"/>
      <c r="B788" s="19"/>
      <c r="C788" s="19"/>
      <c r="D788" s="19"/>
      <c r="E788" s="19"/>
      <c r="F788" s="19"/>
    </row>
    <row r="789" ht="15.75" customHeight="1">
      <c r="A789" s="19"/>
      <c r="B789" s="19"/>
      <c r="C789" s="19"/>
      <c r="D789" s="19"/>
      <c r="E789" s="19"/>
      <c r="F789" s="19"/>
    </row>
    <row r="790" ht="15.75" customHeight="1">
      <c r="A790" s="19"/>
      <c r="B790" s="19"/>
      <c r="C790" s="19"/>
      <c r="D790" s="19"/>
      <c r="E790" s="19"/>
      <c r="F790" s="19"/>
    </row>
    <row r="791" ht="15.75" customHeight="1">
      <c r="A791" s="19"/>
      <c r="B791" s="19"/>
      <c r="C791" s="19"/>
      <c r="D791" s="19"/>
      <c r="E791" s="19"/>
      <c r="F791" s="19"/>
    </row>
    <row r="792" ht="15.75" customHeight="1">
      <c r="A792" s="19"/>
      <c r="B792" s="19"/>
      <c r="C792" s="19"/>
      <c r="D792" s="19"/>
      <c r="E792" s="19"/>
      <c r="F792" s="19"/>
    </row>
    <row r="793" ht="15.75" customHeight="1">
      <c r="A793" s="19"/>
      <c r="B793" s="19"/>
      <c r="C793" s="19"/>
      <c r="D793" s="19"/>
      <c r="E793" s="19"/>
      <c r="F793" s="19"/>
    </row>
    <row r="794" ht="15.75" customHeight="1">
      <c r="A794" s="19"/>
      <c r="B794" s="19"/>
      <c r="C794" s="19"/>
      <c r="D794" s="19"/>
      <c r="E794" s="19"/>
      <c r="F794" s="19"/>
    </row>
    <row r="795" ht="15.75" customHeight="1">
      <c r="A795" s="19"/>
      <c r="B795" s="19"/>
      <c r="C795" s="19"/>
      <c r="D795" s="19"/>
      <c r="E795" s="19"/>
      <c r="F795" s="19"/>
    </row>
    <row r="796" ht="15.75" customHeight="1">
      <c r="A796" s="19"/>
      <c r="B796" s="19"/>
      <c r="C796" s="19"/>
      <c r="D796" s="19"/>
      <c r="E796" s="19"/>
      <c r="F796" s="19"/>
    </row>
    <row r="797" ht="15.75" customHeight="1">
      <c r="A797" s="19"/>
      <c r="B797" s="19"/>
      <c r="C797" s="19"/>
      <c r="D797" s="19"/>
      <c r="E797" s="19"/>
      <c r="F797" s="19"/>
    </row>
    <row r="798" ht="15.75" customHeight="1">
      <c r="A798" s="19"/>
      <c r="B798" s="19"/>
      <c r="C798" s="19"/>
      <c r="D798" s="19"/>
      <c r="E798" s="19"/>
      <c r="F798" s="19"/>
    </row>
    <row r="799" ht="15.75" customHeight="1">
      <c r="A799" s="19"/>
      <c r="B799" s="19"/>
      <c r="C799" s="19"/>
      <c r="D799" s="19"/>
      <c r="E799" s="19"/>
      <c r="F799" s="19"/>
    </row>
    <row r="800" ht="15.75" customHeight="1">
      <c r="A800" s="19"/>
      <c r="B800" s="19"/>
      <c r="C800" s="19"/>
      <c r="D800" s="19"/>
      <c r="E800" s="19"/>
      <c r="F800" s="19"/>
    </row>
    <row r="801" ht="15.75" customHeight="1">
      <c r="A801" s="19"/>
      <c r="B801" s="19"/>
      <c r="C801" s="19"/>
      <c r="D801" s="19"/>
      <c r="E801" s="19"/>
      <c r="F801" s="19"/>
    </row>
    <row r="802" ht="15.75" customHeight="1">
      <c r="A802" s="19"/>
      <c r="B802" s="19"/>
      <c r="C802" s="19"/>
      <c r="D802" s="19"/>
      <c r="E802" s="19"/>
      <c r="F802" s="19"/>
    </row>
    <row r="803" ht="15.75" customHeight="1">
      <c r="A803" s="19"/>
      <c r="B803" s="19"/>
      <c r="C803" s="19"/>
      <c r="D803" s="19"/>
      <c r="E803" s="19"/>
      <c r="F803" s="19"/>
    </row>
    <row r="804" ht="15.75" customHeight="1">
      <c r="A804" s="19"/>
      <c r="B804" s="19"/>
      <c r="C804" s="19"/>
      <c r="D804" s="19"/>
      <c r="E804" s="19"/>
      <c r="F804" s="19"/>
    </row>
    <row r="805" ht="15.75" customHeight="1">
      <c r="A805" s="19"/>
      <c r="B805" s="19"/>
      <c r="C805" s="19"/>
      <c r="D805" s="19"/>
      <c r="E805" s="19"/>
      <c r="F805" s="19"/>
    </row>
    <row r="806" ht="15.75" customHeight="1">
      <c r="A806" s="19"/>
      <c r="B806" s="19"/>
      <c r="C806" s="19"/>
      <c r="D806" s="19"/>
      <c r="E806" s="19"/>
      <c r="F806" s="19"/>
    </row>
    <row r="807" ht="15.75" customHeight="1">
      <c r="A807" s="19"/>
      <c r="B807" s="19"/>
      <c r="C807" s="19"/>
      <c r="D807" s="19"/>
      <c r="E807" s="19"/>
      <c r="F807" s="19"/>
    </row>
    <row r="808" ht="15.75" customHeight="1">
      <c r="A808" s="19"/>
      <c r="B808" s="19"/>
      <c r="C808" s="19"/>
      <c r="D808" s="19"/>
      <c r="E808" s="19"/>
      <c r="F808" s="19"/>
    </row>
    <row r="809" ht="15.75" customHeight="1">
      <c r="A809" s="19"/>
      <c r="B809" s="19"/>
      <c r="C809" s="19"/>
      <c r="D809" s="19"/>
      <c r="E809" s="19"/>
      <c r="F809" s="19"/>
    </row>
    <row r="810" ht="15.75" customHeight="1">
      <c r="A810" s="19"/>
      <c r="B810" s="19"/>
      <c r="C810" s="19"/>
      <c r="D810" s="19"/>
      <c r="E810" s="19"/>
      <c r="F810" s="19"/>
    </row>
    <row r="811" ht="15.75" customHeight="1">
      <c r="A811" s="19"/>
      <c r="B811" s="19"/>
      <c r="C811" s="19"/>
      <c r="D811" s="19"/>
      <c r="E811" s="19"/>
      <c r="F811" s="19"/>
    </row>
    <row r="812" ht="15.75" customHeight="1">
      <c r="A812" s="19"/>
      <c r="B812" s="19"/>
      <c r="C812" s="19"/>
      <c r="D812" s="19"/>
      <c r="E812" s="19"/>
      <c r="F812" s="19"/>
    </row>
    <row r="813" ht="15.75" customHeight="1">
      <c r="A813" s="19"/>
      <c r="B813" s="19"/>
      <c r="C813" s="19"/>
      <c r="D813" s="19"/>
      <c r="E813" s="19"/>
      <c r="F813" s="19"/>
    </row>
    <row r="814" ht="15.75" customHeight="1">
      <c r="A814" s="19"/>
      <c r="B814" s="19"/>
      <c r="C814" s="19"/>
      <c r="D814" s="19"/>
      <c r="E814" s="19"/>
      <c r="F814" s="19"/>
    </row>
    <row r="815" ht="15.75" customHeight="1">
      <c r="A815" s="19"/>
      <c r="B815" s="19"/>
      <c r="C815" s="19"/>
      <c r="D815" s="19"/>
      <c r="E815" s="19"/>
      <c r="F815" s="19"/>
    </row>
    <row r="816" ht="15.75" customHeight="1">
      <c r="A816" s="19"/>
      <c r="B816" s="19"/>
      <c r="C816" s="19"/>
      <c r="D816" s="19"/>
      <c r="E816" s="19"/>
      <c r="F816" s="19"/>
    </row>
    <row r="817" ht="15.75" customHeight="1">
      <c r="A817" s="19"/>
      <c r="B817" s="19"/>
      <c r="C817" s="19"/>
      <c r="D817" s="19"/>
      <c r="E817" s="19"/>
      <c r="F817" s="19"/>
    </row>
    <row r="818" ht="15.75" customHeight="1">
      <c r="A818" s="19"/>
      <c r="B818" s="19"/>
      <c r="C818" s="19"/>
      <c r="D818" s="19"/>
      <c r="E818" s="19"/>
      <c r="F818" s="19"/>
    </row>
    <row r="819" ht="15.75" customHeight="1">
      <c r="A819" s="19"/>
      <c r="B819" s="19"/>
      <c r="C819" s="19"/>
      <c r="D819" s="19"/>
      <c r="E819" s="19"/>
      <c r="F819" s="19"/>
    </row>
    <row r="820" ht="15.75" customHeight="1">
      <c r="A820" s="19"/>
      <c r="B820" s="19"/>
      <c r="C820" s="19"/>
      <c r="D820" s="19"/>
      <c r="E820" s="19"/>
      <c r="F820" s="19"/>
    </row>
    <row r="821" ht="15.75" customHeight="1">
      <c r="A821" s="19"/>
      <c r="B821" s="19"/>
      <c r="C821" s="19"/>
      <c r="D821" s="19"/>
      <c r="E821" s="19"/>
      <c r="F821" s="19"/>
    </row>
    <row r="822" ht="15.75" customHeight="1">
      <c r="A822" s="19"/>
      <c r="B822" s="19"/>
      <c r="C822" s="19"/>
      <c r="D822" s="19"/>
      <c r="E822" s="19"/>
      <c r="F822" s="19"/>
    </row>
    <row r="823" ht="15.75" customHeight="1">
      <c r="A823" s="19"/>
      <c r="B823" s="19"/>
      <c r="C823" s="19"/>
      <c r="D823" s="19"/>
      <c r="E823" s="19"/>
      <c r="F823" s="19"/>
    </row>
    <row r="824" ht="15.75" customHeight="1">
      <c r="A824" s="19"/>
      <c r="B824" s="19"/>
      <c r="C824" s="19"/>
      <c r="D824" s="19"/>
      <c r="E824" s="19"/>
      <c r="F824" s="19"/>
    </row>
    <row r="825" ht="15.75" customHeight="1">
      <c r="A825" s="19"/>
      <c r="B825" s="19"/>
      <c r="C825" s="19"/>
      <c r="D825" s="19"/>
      <c r="E825" s="19"/>
      <c r="F825" s="19"/>
    </row>
    <row r="826" ht="15.75" customHeight="1">
      <c r="A826" s="19"/>
      <c r="B826" s="19"/>
      <c r="C826" s="19"/>
      <c r="D826" s="19"/>
      <c r="E826" s="19"/>
      <c r="F826" s="19"/>
    </row>
    <row r="827" ht="15.75" customHeight="1">
      <c r="A827" s="19"/>
      <c r="B827" s="19"/>
      <c r="C827" s="19"/>
      <c r="D827" s="19"/>
      <c r="E827" s="19"/>
      <c r="F827" s="19"/>
    </row>
    <row r="828" ht="15.75" customHeight="1">
      <c r="A828" s="19"/>
      <c r="B828" s="19"/>
      <c r="C828" s="19"/>
      <c r="D828" s="19"/>
      <c r="E828" s="19"/>
      <c r="F828" s="19"/>
    </row>
    <row r="829" ht="15.75" customHeight="1">
      <c r="A829" s="19"/>
      <c r="B829" s="19"/>
      <c r="C829" s="19"/>
      <c r="D829" s="19"/>
      <c r="E829" s="19"/>
      <c r="F829" s="19"/>
    </row>
    <row r="830" ht="15.75" customHeight="1">
      <c r="A830" s="19"/>
      <c r="B830" s="19"/>
      <c r="C830" s="19"/>
      <c r="D830" s="19"/>
      <c r="E830" s="19"/>
      <c r="F830" s="19"/>
    </row>
    <row r="831" ht="15.75" customHeight="1">
      <c r="A831" s="19"/>
      <c r="B831" s="19"/>
      <c r="C831" s="19"/>
      <c r="D831" s="19"/>
      <c r="E831" s="19"/>
      <c r="F831" s="19"/>
    </row>
    <row r="832" ht="15.75" customHeight="1">
      <c r="A832" s="19"/>
      <c r="B832" s="19"/>
      <c r="C832" s="19"/>
      <c r="D832" s="19"/>
      <c r="E832" s="19"/>
      <c r="F832" s="19"/>
    </row>
    <row r="833" ht="15.75" customHeight="1">
      <c r="A833" s="19"/>
      <c r="B833" s="19"/>
      <c r="C833" s="19"/>
      <c r="D833" s="19"/>
      <c r="E833" s="19"/>
      <c r="F833" s="19"/>
    </row>
    <row r="834" ht="15.75" customHeight="1">
      <c r="A834" s="19"/>
      <c r="B834" s="19"/>
      <c r="C834" s="19"/>
      <c r="D834" s="19"/>
      <c r="E834" s="19"/>
      <c r="F834" s="19"/>
    </row>
    <row r="835" ht="15.75" customHeight="1">
      <c r="A835" s="19"/>
      <c r="B835" s="19"/>
      <c r="C835" s="19"/>
      <c r="D835" s="19"/>
      <c r="E835" s="19"/>
      <c r="F835" s="19"/>
    </row>
    <row r="836" ht="15.75" customHeight="1">
      <c r="A836" s="19"/>
      <c r="B836" s="19"/>
      <c r="C836" s="19"/>
      <c r="D836" s="19"/>
      <c r="E836" s="19"/>
      <c r="F836" s="19"/>
    </row>
    <row r="837" ht="15.75" customHeight="1">
      <c r="A837" s="19"/>
      <c r="B837" s="19"/>
      <c r="C837" s="19"/>
      <c r="D837" s="19"/>
      <c r="E837" s="19"/>
      <c r="F837" s="19"/>
    </row>
    <row r="838" ht="15.75" customHeight="1">
      <c r="A838" s="19"/>
      <c r="B838" s="19"/>
      <c r="C838" s="19"/>
      <c r="D838" s="19"/>
      <c r="E838" s="19"/>
      <c r="F838" s="19"/>
    </row>
    <row r="839" ht="15.75" customHeight="1">
      <c r="A839" s="19"/>
      <c r="B839" s="19"/>
      <c r="C839" s="19"/>
      <c r="D839" s="19"/>
      <c r="E839" s="19"/>
      <c r="F839" s="19"/>
    </row>
    <row r="840" ht="15.75" customHeight="1">
      <c r="A840" s="19"/>
      <c r="B840" s="19"/>
      <c r="C840" s="19"/>
      <c r="D840" s="19"/>
      <c r="E840" s="19"/>
      <c r="F840" s="19"/>
    </row>
    <row r="841" ht="15.75" customHeight="1">
      <c r="A841" s="19"/>
      <c r="B841" s="19"/>
      <c r="C841" s="19"/>
      <c r="D841" s="19"/>
      <c r="E841" s="19"/>
      <c r="F841" s="19"/>
    </row>
    <row r="842" ht="15.75" customHeight="1">
      <c r="A842" s="19"/>
      <c r="B842" s="19"/>
      <c r="C842" s="19"/>
      <c r="D842" s="19"/>
      <c r="E842" s="19"/>
      <c r="F842" s="19"/>
    </row>
    <row r="843" ht="15.75" customHeight="1">
      <c r="A843" s="19"/>
      <c r="B843" s="19"/>
      <c r="C843" s="19"/>
      <c r="D843" s="19"/>
      <c r="E843" s="19"/>
      <c r="F843" s="19"/>
    </row>
    <row r="844" ht="15.75" customHeight="1">
      <c r="A844" s="19"/>
      <c r="B844" s="19"/>
      <c r="C844" s="19"/>
      <c r="D844" s="19"/>
      <c r="E844" s="19"/>
      <c r="F844" s="19"/>
    </row>
    <row r="845" ht="15.75" customHeight="1">
      <c r="A845" s="19"/>
      <c r="B845" s="19"/>
      <c r="C845" s="19"/>
      <c r="D845" s="19"/>
      <c r="E845" s="19"/>
      <c r="F845" s="19"/>
    </row>
    <row r="846" ht="15.75" customHeight="1">
      <c r="A846" s="19"/>
      <c r="B846" s="19"/>
      <c r="C846" s="19"/>
      <c r="D846" s="19"/>
      <c r="E846" s="19"/>
      <c r="F846" s="19"/>
    </row>
    <row r="847" ht="15.75" customHeight="1">
      <c r="A847" s="19"/>
      <c r="B847" s="19"/>
      <c r="C847" s="19"/>
      <c r="D847" s="19"/>
      <c r="E847" s="19"/>
      <c r="F847" s="19"/>
    </row>
    <row r="848" ht="15.75" customHeight="1">
      <c r="A848" s="19"/>
      <c r="B848" s="19"/>
      <c r="C848" s="19"/>
      <c r="D848" s="19"/>
      <c r="E848" s="19"/>
      <c r="F848" s="19"/>
    </row>
    <row r="849" ht="15.75" customHeight="1">
      <c r="A849" s="19"/>
      <c r="B849" s="19"/>
      <c r="C849" s="19"/>
      <c r="D849" s="19"/>
      <c r="E849" s="19"/>
      <c r="F849" s="19"/>
    </row>
    <row r="850" ht="15.75" customHeight="1">
      <c r="A850" s="19"/>
      <c r="B850" s="19"/>
      <c r="C850" s="19"/>
      <c r="D850" s="19"/>
      <c r="E850" s="19"/>
      <c r="F850" s="19"/>
    </row>
    <row r="851" ht="15.75" customHeight="1">
      <c r="A851" s="19"/>
      <c r="B851" s="19"/>
      <c r="C851" s="19"/>
      <c r="D851" s="19"/>
      <c r="E851" s="19"/>
      <c r="F851" s="19"/>
    </row>
    <row r="852" ht="15.75" customHeight="1">
      <c r="A852" s="19"/>
      <c r="B852" s="19"/>
      <c r="C852" s="19"/>
      <c r="D852" s="19"/>
      <c r="E852" s="19"/>
      <c r="F852" s="19"/>
    </row>
    <row r="853" ht="15.75" customHeight="1">
      <c r="A853" s="19"/>
      <c r="B853" s="19"/>
      <c r="C853" s="19"/>
      <c r="D853" s="19"/>
      <c r="E853" s="19"/>
      <c r="F853" s="19"/>
    </row>
    <row r="854" ht="15.75" customHeight="1">
      <c r="A854" s="19"/>
      <c r="B854" s="19"/>
      <c r="C854" s="19"/>
      <c r="D854" s="19"/>
      <c r="E854" s="19"/>
      <c r="F854" s="19"/>
    </row>
    <row r="855" ht="15.75" customHeight="1">
      <c r="A855" s="19"/>
      <c r="B855" s="19"/>
      <c r="C855" s="19"/>
      <c r="D855" s="19"/>
      <c r="E855" s="19"/>
      <c r="F855" s="19"/>
    </row>
    <row r="856" ht="15.75" customHeight="1">
      <c r="A856" s="19"/>
      <c r="B856" s="19"/>
      <c r="C856" s="19"/>
      <c r="D856" s="19"/>
      <c r="E856" s="19"/>
      <c r="F856" s="19"/>
    </row>
    <row r="857" ht="15.75" customHeight="1">
      <c r="A857" s="19"/>
      <c r="B857" s="19"/>
      <c r="C857" s="19"/>
      <c r="D857" s="19"/>
      <c r="E857" s="19"/>
      <c r="F857" s="19"/>
    </row>
    <row r="858" ht="15.75" customHeight="1">
      <c r="A858" s="19"/>
      <c r="B858" s="19"/>
      <c r="C858" s="19"/>
      <c r="D858" s="19"/>
      <c r="E858" s="19"/>
      <c r="F858" s="19"/>
    </row>
    <row r="859" ht="15.75" customHeight="1">
      <c r="A859" s="19"/>
      <c r="B859" s="19"/>
      <c r="C859" s="19"/>
      <c r="D859" s="19"/>
      <c r="E859" s="19"/>
      <c r="F859" s="19"/>
    </row>
    <row r="860" ht="15.75" customHeight="1">
      <c r="A860" s="19"/>
      <c r="B860" s="19"/>
      <c r="C860" s="19"/>
      <c r="D860" s="19"/>
      <c r="E860" s="19"/>
      <c r="F860" s="19"/>
    </row>
    <row r="861" ht="15.75" customHeight="1">
      <c r="A861" s="19"/>
      <c r="B861" s="19"/>
      <c r="C861" s="19"/>
      <c r="D861" s="19"/>
      <c r="E861" s="19"/>
      <c r="F861" s="19"/>
    </row>
    <row r="862" ht="15.75" customHeight="1">
      <c r="A862" s="19"/>
      <c r="B862" s="19"/>
      <c r="C862" s="19"/>
      <c r="D862" s="19"/>
      <c r="E862" s="19"/>
      <c r="F862" s="19"/>
    </row>
    <row r="863" ht="15.75" customHeight="1">
      <c r="A863" s="19"/>
      <c r="B863" s="19"/>
      <c r="C863" s="19"/>
      <c r="D863" s="19"/>
      <c r="E863" s="19"/>
      <c r="F863" s="19"/>
    </row>
    <row r="864" ht="15.75" customHeight="1">
      <c r="A864" s="19"/>
      <c r="B864" s="19"/>
      <c r="C864" s="19"/>
      <c r="D864" s="19"/>
      <c r="E864" s="19"/>
      <c r="F864" s="19"/>
    </row>
    <row r="865" ht="15.75" customHeight="1">
      <c r="A865" s="19"/>
      <c r="B865" s="19"/>
      <c r="C865" s="19"/>
      <c r="D865" s="19"/>
      <c r="E865" s="19"/>
      <c r="F865" s="19"/>
    </row>
    <row r="866" ht="15.75" customHeight="1">
      <c r="A866" s="19"/>
      <c r="B866" s="19"/>
      <c r="C866" s="19"/>
      <c r="D866" s="19"/>
      <c r="E866" s="19"/>
      <c r="F866" s="19"/>
    </row>
    <row r="867" ht="15.75" customHeight="1">
      <c r="A867" s="19"/>
      <c r="B867" s="19"/>
      <c r="C867" s="19"/>
      <c r="D867" s="19"/>
      <c r="E867" s="19"/>
      <c r="F867" s="19"/>
    </row>
    <row r="868" ht="15.75" customHeight="1">
      <c r="A868" s="19"/>
      <c r="B868" s="19"/>
      <c r="C868" s="19"/>
      <c r="D868" s="19"/>
      <c r="E868" s="19"/>
      <c r="F868" s="19"/>
    </row>
    <row r="869" ht="15.75" customHeight="1">
      <c r="A869" s="19"/>
      <c r="B869" s="19"/>
      <c r="C869" s="19"/>
      <c r="D869" s="19"/>
      <c r="E869" s="19"/>
      <c r="F869" s="19"/>
    </row>
    <row r="870" ht="15.75" customHeight="1">
      <c r="A870" s="19"/>
      <c r="B870" s="19"/>
      <c r="C870" s="19"/>
      <c r="D870" s="19"/>
      <c r="E870" s="19"/>
      <c r="F870" s="19"/>
    </row>
    <row r="871" ht="15.75" customHeight="1">
      <c r="A871" s="19"/>
      <c r="B871" s="19"/>
      <c r="C871" s="19"/>
      <c r="D871" s="19"/>
      <c r="E871" s="19"/>
      <c r="F871" s="19"/>
    </row>
    <row r="872" ht="15.75" customHeight="1">
      <c r="A872" s="19"/>
      <c r="B872" s="19"/>
      <c r="C872" s="19"/>
      <c r="D872" s="19"/>
      <c r="E872" s="19"/>
      <c r="F872" s="19"/>
    </row>
    <row r="873" ht="15.75" customHeight="1">
      <c r="A873" s="19"/>
      <c r="B873" s="19"/>
      <c r="C873" s="19"/>
      <c r="D873" s="19"/>
      <c r="E873" s="19"/>
      <c r="F873" s="19"/>
    </row>
    <row r="874" ht="15.75" customHeight="1">
      <c r="A874" s="19"/>
      <c r="B874" s="19"/>
      <c r="C874" s="19"/>
      <c r="D874" s="19"/>
      <c r="E874" s="19"/>
      <c r="F874" s="19"/>
    </row>
    <row r="875" ht="15.75" customHeight="1">
      <c r="A875" s="19"/>
      <c r="B875" s="19"/>
      <c r="C875" s="19"/>
      <c r="D875" s="19"/>
      <c r="E875" s="19"/>
      <c r="F875" s="19"/>
    </row>
    <row r="876" ht="15.75" customHeight="1">
      <c r="A876" s="19"/>
      <c r="B876" s="19"/>
      <c r="C876" s="19"/>
      <c r="D876" s="19"/>
      <c r="E876" s="19"/>
      <c r="F876" s="19"/>
    </row>
    <row r="877" ht="15.75" customHeight="1">
      <c r="A877" s="19"/>
      <c r="B877" s="19"/>
      <c r="C877" s="19"/>
      <c r="D877" s="19"/>
      <c r="E877" s="19"/>
      <c r="F877" s="19"/>
    </row>
    <row r="878" ht="15.75" customHeight="1">
      <c r="A878" s="19"/>
      <c r="B878" s="19"/>
      <c r="C878" s="19"/>
      <c r="D878" s="19"/>
      <c r="E878" s="19"/>
      <c r="F878" s="19"/>
    </row>
    <row r="879" ht="15.75" customHeight="1">
      <c r="A879" s="19"/>
      <c r="B879" s="19"/>
      <c r="C879" s="19"/>
      <c r="D879" s="19"/>
      <c r="E879" s="19"/>
      <c r="F879" s="19"/>
    </row>
    <row r="880" ht="15.75" customHeight="1">
      <c r="A880" s="19"/>
      <c r="B880" s="19"/>
      <c r="C880" s="19"/>
      <c r="D880" s="19"/>
      <c r="E880" s="19"/>
      <c r="F880" s="19"/>
    </row>
    <row r="881" ht="15.75" customHeight="1">
      <c r="A881" s="19"/>
      <c r="B881" s="19"/>
      <c r="C881" s="19"/>
      <c r="D881" s="19"/>
      <c r="E881" s="19"/>
      <c r="F881" s="19"/>
    </row>
    <row r="882" ht="15.75" customHeight="1">
      <c r="A882" s="19"/>
      <c r="B882" s="19"/>
      <c r="C882" s="19"/>
      <c r="D882" s="19"/>
      <c r="E882" s="19"/>
      <c r="F882" s="19"/>
    </row>
    <row r="883" ht="15.75" customHeight="1">
      <c r="A883" s="19"/>
      <c r="B883" s="19"/>
      <c r="C883" s="19"/>
      <c r="D883" s="19"/>
      <c r="E883" s="19"/>
      <c r="F883" s="19"/>
    </row>
    <row r="884" ht="15.75" customHeight="1">
      <c r="A884" s="19"/>
      <c r="B884" s="19"/>
      <c r="C884" s="19"/>
      <c r="D884" s="19"/>
      <c r="E884" s="19"/>
      <c r="F884" s="19"/>
    </row>
    <row r="885" ht="15.75" customHeight="1">
      <c r="A885" s="19"/>
      <c r="B885" s="19"/>
      <c r="C885" s="19"/>
      <c r="D885" s="19"/>
      <c r="E885" s="19"/>
      <c r="F885" s="19"/>
    </row>
    <row r="886" ht="15.75" customHeight="1">
      <c r="A886" s="19"/>
      <c r="B886" s="19"/>
      <c r="C886" s="19"/>
      <c r="D886" s="19"/>
      <c r="E886" s="19"/>
      <c r="F886" s="19"/>
    </row>
    <row r="887" ht="15.75" customHeight="1">
      <c r="A887" s="19"/>
      <c r="B887" s="19"/>
      <c r="C887" s="19"/>
      <c r="D887" s="19"/>
      <c r="E887" s="19"/>
      <c r="F887" s="19"/>
    </row>
    <row r="888" ht="15.75" customHeight="1">
      <c r="A888" s="19"/>
      <c r="B888" s="19"/>
      <c r="C888" s="19"/>
      <c r="D888" s="19"/>
      <c r="E888" s="19"/>
      <c r="F888" s="19"/>
    </row>
    <row r="889" ht="15.75" customHeight="1">
      <c r="A889" s="19"/>
      <c r="B889" s="19"/>
      <c r="C889" s="19"/>
      <c r="D889" s="19"/>
      <c r="E889" s="19"/>
      <c r="F889" s="19"/>
    </row>
    <row r="890" ht="15.75" customHeight="1">
      <c r="A890" s="19"/>
      <c r="B890" s="19"/>
      <c r="C890" s="19"/>
      <c r="D890" s="19"/>
      <c r="E890" s="19"/>
      <c r="F890" s="19"/>
    </row>
    <row r="891" ht="15.75" customHeight="1">
      <c r="A891" s="19"/>
      <c r="B891" s="19"/>
      <c r="C891" s="19"/>
      <c r="D891" s="19"/>
      <c r="E891" s="19"/>
      <c r="F891" s="19"/>
    </row>
    <row r="892" ht="15.75" customHeight="1">
      <c r="A892" s="19"/>
      <c r="B892" s="19"/>
      <c r="C892" s="19"/>
      <c r="D892" s="19"/>
      <c r="E892" s="19"/>
      <c r="F892" s="19"/>
    </row>
    <row r="893" ht="15.75" customHeight="1">
      <c r="A893" s="19"/>
      <c r="B893" s="19"/>
      <c r="C893" s="19"/>
      <c r="D893" s="19"/>
      <c r="E893" s="19"/>
      <c r="F893" s="19"/>
    </row>
    <row r="894" ht="15.75" customHeight="1">
      <c r="A894" s="19"/>
      <c r="B894" s="19"/>
      <c r="C894" s="19"/>
      <c r="D894" s="19"/>
      <c r="E894" s="19"/>
      <c r="F894" s="19"/>
    </row>
    <row r="895" ht="15.75" customHeight="1">
      <c r="A895" s="19"/>
      <c r="B895" s="19"/>
      <c r="C895" s="19"/>
      <c r="D895" s="19"/>
      <c r="E895" s="19"/>
      <c r="F895" s="19"/>
    </row>
    <row r="896" ht="15.75" customHeight="1">
      <c r="A896" s="19"/>
      <c r="B896" s="19"/>
      <c r="C896" s="19"/>
      <c r="D896" s="19"/>
      <c r="E896" s="19"/>
      <c r="F896" s="19"/>
    </row>
    <row r="897" ht="15.75" customHeight="1">
      <c r="A897" s="19"/>
      <c r="B897" s="19"/>
      <c r="C897" s="19"/>
      <c r="D897" s="19"/>
      <c r="E897" s="19"/>
      <c r="F897" s="19"/>
    </row>
    <row r="898" ht="15.75" customHeight="1">
      <c r="A898" s="19"/>
      <c r="B898" s="19"/>
      <c r="C898" s="19"/>
      <c r="D898" s="19"/>
      <c r="E898" s="19"/>
      <c r="F898" s="19"/>
    </row>
    <row r="899" ht="15.75" customHeight="1">
      <c r="A899" s="19"/>
      <c r="B899" s="19"/>
      <c r="C899" s="19"/>
      <c r="D899" s="19"/>
      <c r="E899" s="19"/>
      <c r="F899" s="19"/>
    </row>
    <row r="900" ht="15.75" customHeight="1">
      <c r="A900" s="19"/>
      <c r="B900" s="19"/>
      <c r="C900" s="19"/>
      <c r="D900" s="19"/>
      <c r="E900" s="19"/>
      <c r="F900" s="19"/>
    </row>
    <row r="901" ht="15.75" customHeight="1">
      <c r="A901" s="19"/>
      <c r="B901" s="19"/>
      <c r="C901" s="19"/>
      <c r="D901" s="19"/>
      <c r="E901" s="19"/>
      <c r="F901" s="19"/>
    </row>
    <row r="902" ht="15.75" customHeight="1">
      <c r="A902" s="19"/>
      <c r="B902" s="19"/>
      <c r="C902" s="19"/>
      <c r="D902" s="19"/>
      <c r="E902" s="19"/>
      <c r="F902" s="19"/>
    </row>
    <row r="903" ht="15.75" customHeight="1">
      <c r="A903" s="19"/>
      <c r="B903" s="19"/>
      <c r="C903" s="19"/>
      <c r="D903" s="19"/>
      <c r="E903" s="19"/>
      <c r="F903" s="19"/>
    </row>
    <row r="904" ht="15.75" customHeight="1">
      <c r="A904" s="19"/>
      <c r="B904" s="19"/>
      <c r="C904" s="19"/>
      <c r="D904" s="19"/>
      <c r="E904" s="19"/>
      <c r="F904" s="19"/>
    </row>
    <row r="905" ht="15.75" customHeight="1">
      <c r="A905" s="19"/>
      <c r="B905" s="19"/>
      <c r="C905" s="19"/>
      <c r="D905" s="19"/>
      <c r="E905" s="19"/>
      <c r="F905" s="19"/>
    </row>
    <row r="906" ht="15.75" customHeight="1">
      <c r="A906" s="19"/>
      <c r="B906" s="19"/>
      <c r="C906" s="19"/>
      <c r="D906" s="19"/>
      <c r="E906" s="19"/>
      <c r="F906" s="19"/>
    </row>
    <row r="907" ht="15.75" customHeight="1">
      <c r="A907" s="19"/>
      <c r="B907" s="19"/>
      <c r="C907" s="19"/>
      <c r="D907" s="19"/>
      <c r="E907" s="19"/>
      <c r="F907" s="19"/>
    </row>
    <row r="908" ht="15.75" customHeight="1">
      <c r="A908" s="19"/>
      <c r="B908" s="19"/>
      <c r="C908" s="19"/>
      <c r="D908" s="19"/>
      <c r="E908" s="19"/>
      <c r="F908" s="19"/>
    </row>
    <row r="909" ht="15.75" customHeight="1">
      <c r="A909" s="19"/>
      <c r="B909" s="19"/>
      <c r="C909" s="19"/>
      <c r="D909" s="19"/>
      <c r="E909" s="19"/>
      <c r="F909" s="19"/>
    </row>
    <row r="910" ht="15.75" customHeight="1">
      <c r="A910" s="19"/>
      <c r="B910" s="19"/>
      <c r="C910" s="19"/>
      <c r="D910" s="19"/>
      <c r="E910" s="19"/>
      <c r="F910" s="19"/>
    </row>
    <row r="911" ht="15.75" customHeight="1">
      <c r="A911" s="19"/>
      <c r="B911" s="19"/>
      <c r="C911" s="19"/>
      <c r="D911" s="19"/>
      <c r="E911" s="19"/>
      <c r="F911" s="19"/>
    </row>
    <row r="912" ht="15.75" customHeight="1">
      <c r="A912" s="19"/>
      <c r="B912" s="19"/>
      <c r="C912" s="19"/>
      <c r="D912" s="19"/>
      <c r="E912" s="19"/>
      <c r="F912" s="19"/>
    </row>
    <row r="913" ht="15.75" customHeight="1">
      <c r="A913" s="19"/>
      <c r="B913" s="19"/>
      <c r="C913" s="19"/>
      <c r="D913" s="19"/>
      <c r="E913" s="19"/>
      <c r="F913" s="19"/>
    </row>
    <row r="914" ht="15.75" customHeight="1">
      <c r="A914" s="19"/>
      <c r="B914" s="19"/>
      <c r="C914" s="19"/>
      <c r="D914" s="19"/>
      <c r="E914" s="19"/>
      <c r="F914" s="19"/>
    </row>
    <row r="915" ht="15.75" customHeight="1">
      <c r="A915" s="19"/>
      <c r="B915" s="19"/>
      <c r="C915" s="19"/>
      <c r="D915" s="19"/>
      <c r="E915" s="19"/>
      <c r="F915" s="19"/>
    </row>
    <row r="916" ht="15.75" customHeight="1">
      <c r="A916" s="19"/>
      <c r="B916" s="19"/>
      <c r="C916" s="19"/>
      <c r="D916" s="19"/>
      <c r="E916" s="19"/>
      <c r="F916" s="19"/>
    </row>
    <row r="917" ht="15.75" customHeight="1">
      <c r="A917" s="19"/>
      <c r="B917" s="19"/>
      <c r="C917" s="19"/>
      <c r="D917" s="19"/>
      <c r="E917" s="19"/>
      <c r="F917" s="19"/>
    </row>
    <row r="918" ht="15.75" customHeight="1">
      <c r="A918" s="19"/>
      <c r="B918" s="19"/>
      <c r="C918" s="19"/>
      <c r="D918" s="19"/>
      <c r="E918" s="19"/>
      <c r="F918" s="19"/>
    </row>
    <row r="919" ht="15.75" customHeight="1">
      <c r="A919" s="19"/>
      <c r="B919" s="19"/>
      <c r="C919" s="19"/>
      <c r="D919" s="19"/>
      <c r="E919" s="19"/>
      <c r="F919" s="19"/>
    </row>
    <row r="920" ht="15.75" customHeight="1">
      <c r="A920" s="19"/>
      <c r="B920" s="19"/>
      <c r="C920" s="19"/>
      <c r="D920" s="19"/>
      <c r="E920" s="19"/>
      <c r="F920" s="19"/>
    </row>
    <row r="921" ht="15.75" customHeight="1">
      <c r="A921" s="19"/>
      <c r="B921" s="19"/>
      <c r="C921" s="19"/>
      <c r="D921" s="19"/>
      <c r="E921" s="19"/>
      <c r="F921" s="19"/>
    </row>
    <row r="922" ht="15.75" customHeight="1">
      <c r="A922" s="19"/>
      <c r="B922" s="19"/>
      <c r="C922" s="19"/>
      <c r="D922" s="19"/>
      <c r="E922" s="19"/>
      <c r="F922" s="19"/>
    </row>
    <row r="923" ht="15.75" customHeight="1">
      <c r="A923" s="19"/>
      <c r="B923" s="19"/>
      <c r="C923" s="19"/>
      <c r="D923" s="19"/>
      <c r="E923" s="19"/>
      <c r="F923" s="19"/>
    </row>
    <row r="924" ht="15.75" customHeight="1">
      <c r="A924" s="19"/>
      <c r="B924" s="19"/>
      <c r="C924" s="19"/>
      <c r="D924" s="19"/>
      <c r="E924" s="19"/>
      <c r="F924" s="19"/>
    </row>
    <row r="925" ht="15.75" customHeight="1">
      <c r="A925" s="19"/>
      <c r="B925" s="19"/>
      <c r="C925" s="19"/>
      <c r="D925" s="19"/>
      <c r="E925" s="19"/>
      <c r="F925" s="19"/>
    </row>
    <row r="926" ht="15.75" customHeight="1">
      <c r="A926" s="19"/>
      <c r="B926" s="19"/>
      <c r="C926" s="19"/>
      <c r="D926" s="19"/>
      <c r="E926" s="19"/>
      <c r="F926" s="19"/>
    </row>
    <row r="927" ht="15.75" customHeight="1">
      <c r="A927" s="19"/>
      <c r="B927" s="19"/>
      <c r="C927" s="19"/>
      <c r="D927" s="19"/>
      <c r="E927" s="19"/>
      <c r="F927" s="19"/>
    </row>
    <row r="928" ht="15.75" customHeight="1">
      <c r="A928" s="19"/>
      <c r="B928" s="19"/>
      <c r="C928" s="19"/>
      <c r="D928" s="19"/>
      <c r="E928" s="19"/>
      <c r="F928" s="19"/>
    </row>
    <row r="929" ht="15.75" customHeight="1">
      <c r="A929" s="19"/>
      <c r="B929" s="19"/>
      <c r="C929" s="19"/>
      <c r="D929" s="19"/>
      <c r="E929" s="19"/>
      <c r="F929" s="19"/>
    </row>
    <row r="930" ht="15.75" customHeight="1">
      <c r="A930" s="19"/>
      <c r="B930" s="19"/>
      <c r="C930" s="19"/>
      <c r="D930" s="19"/>
      <c r="E930" s="19"/>
      <c r="F930" s="19"/>
    </row>
    <row r="931" ht="15.75" customHeight="1">
      <c r="A931" s="19"/>
      <c r="B931" s="19"/>
      <c r="C931" s="19"/>
      <c r="D931" s="19"/>
      <c r="E931" s="19"/>
      <c r="F931" s="19"/>
    </row>
    <row r="932" ht="15.75" customHeight="1">
      <c r="A932" s="19"/>
      <c r="B932" s="19"/>
      <c r="C932" s="19"/>
      <c r="D932" s="19"/>
      <c r="E932" s="19"/>
      <c r="F932" s="19"/>
    </row>
    <row r="933" ht="15.75" customHeight="1">
      <c r="A933" s="19"/>
      <c r="B933" s="19"/>
      <c r="C933" s="19"/>
      <c r="D933" s="19"/>
      <c r="E933" s="19"/>
      <c r="F933" s="19"/>
    </row>
    <row r="934" ht="15.75" customHeight="1">
      <c r="A934" s="19"/>
      <c r="B934" s="19"/>
      <c r="C934" s="19"/>
      <c r="D934" s="19"/>
      <c r="E934" s="19"/>
      <c r="F934" s="19"/>
    </row>
    <row r="935" ht="15.75" customHeight="1">
      <c r="A935" s="19"/>
      <c r="B935" s="19"/>
      <c r="C935" s="19"/>
      <c r="D935" s="19"/>
      <c r="E935" s="19"/>
      <c r="F935" s="19"/>
    </row>
    <row r="936" ht="15.75" customHeight="1">
      <c r="A936" s="19"/>
      <c r="B936" s="19"/>
      <c r="C936" s="19"/>
      <c r="D936" s="19"/>
      <c r="E936" s="19"/>
      <c r="F936" s="19"/>
    </row>
    <row r="937" ht="15.75" customHeight="1">
      <c r="A937" s="19"/>
      <c r="B937" s="19"/>
      <c r="C937" s="19"/>
      <c r="D937" s="19"/>
      <c r="E937" s="19"/>
      <c r="F937" s="19"/>
    </row>
    <row r="938" ht="15.75" customHeight="1">
      <c r="A938" s="19"/>
      <c r="B938" s="19"/>
      <c r="C938" s="19"/>
      <c r="D938" s="19"/>
      <c r="E938" s="19"/>
      <c r="F938" s="19"/>
    </row>
    <row r="939" ht="15.75" customHeight="1">
      <c r="A939" s="19"/>
      <c r="B939" s="19"/>
      <c r="C939" s="19"/>
      <c r="D939" s="19"/>
      <c r="E939" s="19"/>
      <c r="F939" s="19"/>
    </row>
    <row r="940" ht="15.75" customHeight="1">
      <c r="A940" s="19"/>
      <c r="B940" s="19"/>
      <c r="C940" s="19"/>
      <c r="D940" s="19"/>
      <c r="E940" s="19"/>
      <c r="F940" s="19"/>
    </row>
    <row r="941" ht="15.75" customHeight="1">
      <c r="A941" s="19"/>
      <c r="B941" s="19"/>
      <c r="C941" s="19"/>
      <c r="D941" s="19"/>
      <c r="E941" s="19"/>
      <c r="F941" s="19"/>
    </row>
    <row r="942" ht="15.75" customHeight="1">
      <c r="A942" s="19"/>
      <c r="B942" s="19"/>
      <c r="C942" s="19"/>
      <c r="D942" s="19"/>
      <c r="E942" s="19"/>
      <c r="F942" s="19"/>
    </row>
    <row r="943" ht="15.75" customHeight="1">
      <c r="A943" s="19"/>
      <c r="B943" s="19"/>
      <c r="C943" s="19"/>
      <c r="D943" s="19"/>
      <c r="E943" s="19"/>
      <c r="F943" s="19"/>
    </row>
    <row r="944" ht="15.75" customHeight="1">
      <c r="A944" s="19"/>
      <c r="B944" s="19"/>
      <c r="C944" s="19"/>
      <c r="D944" s="19"/>
      <c r="E944" s="19"/>
      <c r="F944" s="19"/>
    </row>
    <row r="945" ht="15.75" customHeight="1">
      <c r="A945" s="19"/>
      <c r="B945" s="19"/>
      <c r="C945" s="19"/>
      <c r="D945" s="19"/>
      <c r="E945" s="19"/>
      <c r="F945" s="19"/>
    </row>
    <row r="946" ht="15.75" customHeight="1">
      <c r="A946" s="19"/>
      <c r="B946" s="19"/>
      <c r="C946" s="19"/>
      <c r="D946" s="19"/>
      <c r="E946" s="19"/>
      <c r="F946" s="19"/>
    </row>
    <row r="947" ht="15.75" customHeight="1">
      <c r="A947" s="19"/>
      <c r="B947" s="19"/>
      <c r="C947" s="19"/>
      <c r="D947" s="19"/>
      <c r="E947" s="19"/>
      <c r="F947" s="19"/>
    </row>
    <row r="948" ht="15.75" customHeight="1">
      <c r="A948" s="19"/>
      <c r="B948" s="19"/>
      <c r="C948" s="19"/>
      <c r="D948" s="19"/>
      <c r="E948" s="19"/>
      <c r="F948" s="19"/>
    </row>
    <row r="949" ht="15.75" customHeight="1">
      <c r="A949" s="19"/>
      <c r="B949" s="19"/>
      <c r="C949" s="19"/>
      <c r="D949" s="19"/>
      <c r="E949" s="19"/>
      <c r="F949" s="19"/>
    </row>
    <row r="950" ht="15.75" customHeight="1">
      <c r="A950" s="19"/>
      <c r="B950" s="19"/>
      <c r="C950" s="19"/>
      <c r="D950" s="19"/>
      <c r="E950" s="19"/>
      <c r="F950" s="19"/>
    </row>
    <row r="951" ht="15.75" customHeight="1">
      <c r="A951" s="19"/>
      <c r="B951" s="19"/>
      <c r="C951" s="19"/>
      <c r="D951" s="19"/>
      <c r="E951" s="19"/>
      <c r="F951" s="19"/>
    </row>
    <row r="952" ht="15.75" customHeight="1">
      <c r="A952" s="19"/>
      <c r="B952" s="19"/>
      <c r="C952" s="19"/>
      <c r="D952" s="19"/>
      <c r="E952" s="19"/>
      <c r="F952" s="19"/>
    </row>
    <row r="953" ht="15.75" customHeight="1">
      <c r="A953" s="19"/>
      <c r="B953" s="19"/>
      <c r="C953" s="19"/>
      <c r="D953" s="19"/>
      <c r="E953" s="19"/>
      <c r="F953" s="19"/>
    </row>
    <row r="954" ht="15.75" customHeight="1">
      <c r="A954" s="19"/>
      <c r="B954" s="19"/>
      <c r="C954" s="19"/>
      <c r="D954" s="19"/>
      <c r="E954" s="19"/>
      <c r="F954" s="19"/>
    </row>
    <row r="955" ht="15.75" customHeight="1">
      <c r="A955" s="19"/>
      <c r="B955" s="19"/>
      <c r="C955" s="19"/>
      <c r="D955" s="19"/>
      <c r="E955" s="19"/>
      <c r="F955" s="19"/>
    </row>
    <row r="956" ht="15.75" customHeight="1">
      <c r="A956" s="19"/>
      <c r="B956" s="19"/>
      <c r="C956" s="19"/>
      <c r="D956" s="19"/>
      <c r="E956" s="19"/>
      <c r="F956" s="19"/>
    </row>
    <row r="957" ht="15.75" customHeight="1">
      <c r="A957" s="19"/>
      <c r="B957" s="19"/>
      <c r="C957" s="19"/>
      <c r="D957" s="19"/>
      <c r="E957" s="19"/>
      <c r="F957" s="19"/>
    </row>
    <row r="958" ht="15.75" customHeight="1">
      <c r="A958" s="19"/>
      <c r="B958" s="19"/>
      <c r="C958" s="19"/>
      <c r="D958" s="19"/>
      <c r="E958" s="19"/>
      <c r="F958" s="19"/>
    </row>
    <row r="959" ht="15.75" customHeight="1">
      <c r="A959" s="19"/>
      <c r="B959" s="19"/>
      <c r="C959" s="19"/>
      <c r="D959" s="19"/>
      <c r="E959" s="19"/>
      <c r="F959" s="19"/>
    </row>
    <row r="960" ht="15.75" customHeight="1">
      <c r="A960" s="19"/>
      <c r="B960" s="19"/>
      <c r="C960" s="19"/>
      <c r="D960" s="19"/>
      <c r="E960" s="19"/>
      <c r="F960" s="19"/>
    </row>
    <row r="961" ht="15.75" customHeight="1">
      <c r="A961" s="19"/>
      <c r="B961" s="19"/>
      <c r="C961" s="19"/>
      <c r="D961" s="19"/>
      <c r="E961" s="19"/>
      <c r="F961" s="19"/>
    </row>
    <row r="962" ht="15.75" customHeight="1">
      <c r="A962" s="19"/>
      <c r="B962" s="19"/>
      <c r="C962" s="19"/>
      <c r="D962" s="19"/>
      <c r="E962" s="19"/>
      <c r="F962" s="19"/>
    </row>
    <row r="963" ht="15.75" customHeight="1">
      <c r="A963" s="19"/>
      <c r="B963" s="19"/>
      <c r="C963" s="19"/>
      <c r="D963" s="19"/>
      <c r="E963" s="19"/>
      <c r="F963" s="19"/>
    </row>
    <row r="964" ht="15.75" customHeight="1">
      <c r="A964" s="19"/>
      <c r="B964" s="19"/>
      <c r="C964" s="19"/>
      <c r="D964" s="19"/>
      <c r="E964" s="19"/>
      <c r="F964" s="19"/>
    </row>
    <row r="965" ht="15.75" customHeight="1">
      <c r="A965" s="19"/>
      <c r="B965" s="19"/>
      <c r="C965" s="19"/>
      <c r="D965" s="19"/>
      <c r="E965" s="19"/>
      <c r="F965" s="19"/>
    </row>
    <row r="966" ht="15.75" customHeight="1">
      <c r="A966" s="19"/>
      <c r="B966" s="19"/>
      <c r="C966" s="19"/>
      <c r="D966" s="19"/>
      <c r="E966" s="19"/>
      <c r="F966" s="19"/>
    </row>
    <row r="967" ht="15.75" customHeight="1">
      <c r="A967" s="19"/>
      <c r="B967" s="19"/>
      <c r="C967" s="19"/>
      <c r="D967" s="19"/>
      <c r="E967" s="19"/>
      <c r="F967" s="19"/>
    </row>
    <row r="968" ht="15.75" customHeight="1">
      <c r="A968" s="19"/>
      <c r="B968" s="19"/>
      <c r="C968" s="19"/>
      <c r="D968" s="19"/>
      <c r="E968" s="19"/>
      <c r="F968" s="19"/>
    </row>
    <row r="969" ht="15.75" customHeight="1">
      <c r="A969" s="19"/>
      <c r="B969" s="19"/>
      <c r="C969" s="19"/>
      <c r="D969" s="19"/>
      <c r="E969" s="19"/>
      <c r="F969" s="19"/>
    </row>
    <row r="970" ht="15.75" customHeight="1">
      <c r="A970" s="19"/>
      <c r="B970" s="19"/>
      <c r="C970" s="19"/>
      <c r="D970" s="19"/>
      <c r="E970" s="19"/>
      <c r="F970" s="19"/>
    </row>
    <row r="971" ht="15.75" customHeight="1">
      <c r="A971" s="19"/>
      <c r="B971" s="19"/>
      <c r="C971" s="19"/>
      <c r="D971" s="19"/>
      <c r="E971" s="19"/>
      <c r="F971" s="19"/>
    </row>
    <row r="972" ht="15.75" customHeight="1">
      <c r="A972" s="19"/>
      <c r="B972" s="19"/>
      <c r="C972" s="19"/>
      <c r="D972" s="19"/>
      <c r="E972" s="19"/>
      <c r="F972" s="19"/>
    </row>
    <row r="973" ht="15.75" customHeight="1">
      <c r="A973" s="19"/>
      <c r="B973" s="19"/>
      <c r="C973" s="19"/>
      <c r="D973" s="19"/>
      <c r="E973" s="19"/>
      <c r="F973" s="19"/>
    </row>
    <row r="974" ht="15.75" customHeight="1">
      <c r="A974" s="19"/>
      <c r="B974" s="19"/>
      <c r="C974" s="19"/>
      <c r="D974" s="19"/>
      <c r="E974" s="19"/>
      <c r="F974" s="19"/>
    </row>
    <row r="975" ht="15.75" customHeight="1">
      <c r="A975" s="19"/>
      <c r="B975" s="19"/>
      <c r="C975" s="19"/>
      <c r="D975" s="19"/>
      <c r="E975" s="19"/>
      <c r="F975" s="19"/>
    </row>
    <row r="976" ht="15.75" customHeight="1">
      <c r="A976" s="19"/>
      <c r="B976" s="19"/>
      <c r="C976" s="19"/>
      <c r="D976" s="19"/>
      <c r="E976" s="19"/>
      <c r="F976" s="19"/>
    </row>
    <row r="977" ht="15.75" customHeight="1">
      <c r="A977" s="19"/>
      <c r="B977" s="19"/>
      <c r="C977" s="19"/>
      <c r="D977" s="19"/>
      <c r="E977" s="19"/>
      <c r="F977" s="19"/>
    </row>
    <row r="978" ht="15.75" customHeight="1">
      <c r="A978" s="19"/>
      <c r="B978" s="19"/>
      <c r="C978" s="19"/>
      <c r="D978" s="19"/>
      <c r="E978" s="19"/>
      <c r="F978" s="19"/>
    </row>
    <row r="979" ht="15.75" customHeight="1">
      <c r="A979" s="19"/>
      <c r="B979" s="19"/>
      <c r="C979" s="19"/>
      <c r="D979" s="19"/>
      <c r="E979" s="19"/>
      <c r="F979" s="19"/>
    </row>
    <row r="980" ht="15.75" customHeight="1">
      <c r="A980" s="19"/>
      <c r="B980" s="19"/>
      <c r="C980" s="19"/>
      <c r="D980" s="19"/>
      <c r="E980" s="19"/>
      <c r="F980" s="19"/>
    </row>
    <row r="981" ht="15.75" customHeight="1">
      <c r="A981" s="19"/>
      <c r="B981" s="19"/>
      <c r="C981" s="19"/>
      <c r="D981" s="19"/>
      <c r="E981" s="19"/>
      <c r="F981" s="19"/>
    </row>
    <row r="982" ht="15.75" customHeight="1">
      <c r="A982" s="19"/>
      <c r="B982" s="19"/>
      <c r="C982" s="19"/>
      <c r="D982" s="19"/>
      <c r="E982" s="19"/>
      <c r="F982" s="19"/>
    </row>
    <row r="983" ht="15.75" customHeight="1">
      <c r="A983" s="19"/>
      <c r="B983" s="19"/>
      <c r="C983" s="19"/>
      <c r="D983" s="19"/>
      <c r="E983" s="19"/>
      <c r="F983" s="19"/>
    </row>
    <row r="984" ht="15.75" customHeight="1">
      <c r="A984" s="19"/>
      <c r="B984" s="19"/>
      <c r="C984" s="19"/>
      <c r="D984" s="19"/>
      <c r="E984" s="19"/>
      <c r="F984" s="19"/>
    </row>
    <row r="985" ht="15.75" customHeight="1">
      <c r="A985" s="19"/>
      <c r="B985" s="19"/>
      <c r="C985" s="19"/>
      <c r="D985" s="19"/>
      <c r="E985" s="19"/>
      <c r="F985" s="19"/>
    </row>
    <row r="986" ht="15.75" customHeight="1">
      <c r="A986" s="19"/>
      <c r="B986" s="19"/>
      <c r="C986" s="19"/>
      <c r="D986" s="19"/>
      <c r="E986" s="19"/>
      <c r="F986" s="19"/>
    </row>
    <row r="987" ht="15.75" customHeight="1">
      <c r="A987" s="19"/>
      <c r="B987" s="19"/>
      <c r="C987" s="19"/>
      <c r="D987" s="19"/>
      <c r="E987" s="19"/>
      <c r="F987" s="19"/>
    </row>
    <row r="988" ht="15.75" customHeight="1">
      <c r="A988" s="19"/>
      <c r="B988" s="19"/>
      <c r="C988" s="19"/>
      <c r="D988" s="19"/>
      <c r="E988" s="19"/>
      <c r="F988" s="19"/>
    </row>
    <row r="989" ht="15.75" customHeight="1">
      <c r="A989" s="19"/>
      <c r="B989" s="19"/>
      <c r="C989" s="19"/>
      <c r="D989" s="19"/>
      <c r="E989" s="19"/>
      <c r="F989" s="19"/>
    </row>
    <row r="990" ht="15.75" customHeight="1">
      <c r="A990" s="19"/>
      <c r="B990" s="19"/>
      <c r="C990" s="19"/>
      <c r="D990" s="19"/>
      <c r="E990" s="19"/>
      <c r="F990" s="19"/>
    </row>
    <row r="991" ht="15.75" customHeight="1">
      <c r="A991" s="19"/>
      <c r="B991" s="19"/>
      <c r="C991" s="19"/>
      <c r="D991" s="19"/>
      <c r="E991" s="19"/>
      <c r="F991" s="19"/>
    </row>
    <row r="992" ht="15.75" customHeight="1">
      <c r="A992" s="19"/>
      <c r="B992" s="19"/>
      <c r="C992" s="19"/>
      <c r="D992" s="19"/>
      <c r="E992" s="19"/>
      <c r="F992" s="19"/>
    </row>
    <row r="993" ht="15.75" customHeight="1">
      <c r="A993" s="19"/>
      <c r="B993" s="19"/>
      <c r="C993" s="19"/>
      <c r="D993" s="19"/>
      <c r="E993" s="19"/>
      <c r="F993" s="19"/>
    </row>
    <row r="994" ht="15.75" customHeight="1">
      <c r="A994" s="19"/>
      <c r="B994" s="19"/>
      <c r="C994" s="19"/>
      <c r="D994" s="19"/>
      <c r="E994" s="19"/>
      <c r="F994" s="19"/>
    </row>
    <row r="995" ht="15.75" customHeight="1">
      <c r="A995" s="19"/>
      <c r="B995" s="19"/>
      <c r="C995" s="19"/>
      <c r="D995" s="19"/>
      <c r="E995" s="19"/>
      <c r="F995" s="19"/>
    </row>
    <row r="996" ht="15.75" customHeight="1">
      <c r="A996" s="19"/>
      <c r="B996" s="19"/>
      <c r="C996" s="19"/>
      <c r="D996" s="19"/>
      <c r="E996" s="19"/>
      <c r="F996" s="19"/>
    </row>
    <row r="997" ht="15.75" customHeight="1">
      <c r="A997" s="19"/>
      <c r="B997" s="19"/>
      <c r="C997" s="19"/>
      <c r="D997" s="19"/>
      <c r="E997" s="19"/>
      <c r="F997" s="19"/>
    </row>
    <row r="998" ht="15.75" customHeight="1">
      <c r="A998" s="19"/>
      <c r="B998" s="19"/>
      <c r="C998" s="19"/>
      <c r="D998" s="19"/>
      <c r="E998" s="19"/>
      <c r="F998" s="19"/>
    </row>
    <row r="999" ht="15.75" customHeight="1">
      <c r="A999" s="19"/>
      <c r="B999" s="19"/>
      <c r="C999" s="19"/>
      <c r="D999" s="19"/>
      <c r="E999" s="19"/>
      <c r="F999" s="19"/>
    </row>
    <row r="1000" ht="15.75" customHeight="1">
      <c r="A1000" s="19"/>
      <c r="B1000" s="19"/>
      <c r="C1000" s="19"/>
      <c r="D1000" s="19"/>
      <c r="E1000" s="19"/>
      <c r="F1000" s="1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2026-01-07T12:41:51Z</dcterms:created>
  <dc:creator>openpyxl</dc:creator>
</cp:coreProperties>
</file>